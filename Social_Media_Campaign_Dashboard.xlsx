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A8D\EXCELCNV\fe19d271-98ef-48cf-8871-d50b716e3d84\"/>
    </mc:Choice>
  </mc:AlternateContent>
  <xr:revisionPtr revIDLastSave="0" documentId="8_{50ED928E-027C-4907-A1A0-2866A18A97D3}" xr6:coauthVersionLast="47" xr6:coauthVersionMax="47" xr10:uidLastSave="{00000000-0000-0000-0000-000000000000}"/>
  <bookViews>
    <workbookView xWindow="-60" yWindow="-60" windowWidth="15480" windowHeight="11640" firstSheet="2" xr2:uid="{7763E598-0876-4205-A399-851561FF1412}"/>
  </bookViews>
  <sheets>
    <sheet name="Raw Data" sheetId="1" r:id="rId1"/>
    <sheet name="Analysis" sheetId="2" r:id="rId2"/>
    <sheet name="Dashboard" sheetId="3" r:id="rId3"/>
  </sheets>
  <calcPr calcId="191028"/>
  <pivotCaches>
    <pivotCache cacheId="86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J3" i="3"/>
  <c r="H3" i="3"/>
  <c r="F3" i="3"/>
</calcChain>
</file>

<file path=xl/sharedStrings.xml><?xml version="1.0" encoding="utf-8"?>
<sst xmlns="http://schemas.openxmlformats.org/spreadsheetml/2006/main" count="7076" uniqueCount="119">
  <si>
    <t>Target_Audience</t>
  </si>
  <si>
    <t>Campaign_Goal</t>
  </si>
  <si>
    <t>Duration</t>
  </si>
  <si>
    <t>Channel_Used</t>
  </si>
  <si>
    <t>Conversion_Rate</t>
  </si>
  <si>
    <t>Acquisition_Cost</t>
  </si>
  <si>
    <t>ROI</t>
  </si>
  <si>
    <t>Clicks</t>
  </si>
  <si>
    <t>Impressions</t>
  </si>
  <si>
    <t>Engagement_Score</t>
  </si>
  <si>
    <t>Customer_Segment</t>
  </si>
  <si>
    <t>Date</t>
  </si>
  <si>
    <t>Company</t>
  </si>
  <si>
    <t>Month</t>
  </si>
  <si>
    <t>Budget_Planned</t>
  </si>
  <si>
    <t>Variance</t>
  </si>
  <si>
    <t>Cost_Per_Click</t>
  </si>
  <si>
    <t>Men 45-60</t>
  </si>
  <si>
    <t>Product Launch</t>
  </si>
  <si>
    <t>15 Days</t>
  </si>
  <si>
    <t>Twitter</t>
  </si>
  <si>
    <t>Home</t>
  </si>
  <si>
    <t>Nest Neat</t>
  </si>
  <si>
    <t>Jul</t>
  </si>
  <si>
    <t>Women 25-34</t>
  </si>
  <si>
    <t>Brand Awareness</t>
  </si>
  <si>
    <t>Furnish Fine</t>
  </si>
  <si>
    <t>Jan</t>
  </si>
  <si>
    <t>Men 35-44</t>
  </si>
  <si>
    <t>Increase Sales</t>
  </si>
  <si>
    <t>30 Days</t>
  </si>
  <si>
    <t>Decor Dreams</t>
  </si>
  <si>
    <t>Aug</t>
  </si>
  <si>
    <t>Women 35-44</t>
  </si>
  <si>
    <t>Market Expansion</t>
  </si>
  <si>
    <t>60 Days</t>
  </si>
  <si>
    <t>Facebook</t>
  </si>
  <si>
    <t>Technology</t>
  </si>
  <si>
    <t>Innovate Infinity</t>
  </si>
  <si>
    <t>Women 45-60</t>
  </si>
  <si>
    <t>45 Days</t>
  </si>
  <si>
    <t>Nov</t>
  </si>
  <si>
    <t>Pinterest</t>
  </si>
  <si>
    <t>Homely Haven</t>
  </si>
  <si>
    <t>May</t>
  </si>
  <si>
    <t>All Ages</t>
  </si>
  <si>
    <t>Food</t>
  </si>
  <si>
    <t>Gourmet Grove</t>
  </si>
  <si>
    <t>Hearth Harmony</t>
  </si>
  <si>
    <t>Men 18-24</t>
  </si>
  <si>
    <t>Instagram</t>
  </si>
  <si>
    <t>Fashion</t>
  </si>
  <si>
    <t>Runway Rebels</t>
  </si>
  <si>
    <t>Health</t>
  </si>
  <si>
    <t>Fitness Front</t>
  </si>
  <si>
    <t>Men 25-34</t>
  </si>
  <si>
    <t>Cyber Circuit</t>
  </si>
  <si>
    <t>Oct</t>
  </si>
  <si>
    <t>Aura Align</t>
  </si>
  <si>
    <t>Trend Tailors</t>
  </si>
  <si>
    <t>Feb</t>
  </si>
  <si>
    <t>Domestic Dream</t>
  </si>
  <si>
    <t>Silk &amp; Style</t>
  </si>
  <si>
    <t>Dec</t>
  </si>
  <si>
    <t>Tech Titans</t>
  </si>
  <si>
    <t>Sep</t>
  </si>
  <si>
    <t>Well Wish</t>
  </si>
  <si>
    <t>Women 18-24</t>
  </si>
  <si>
    <t>Wellness Waves</t>
  </si>
  <si>
    <t>Jun</t>
  </si>
  <si>
    <t>Gastronomy Guild</t>
  </si>
  <si>
    <t>Dwell Delight</t>
  </si>
  <si>
    <t>Vogue Visions</t>
  </si>
  <si>
    <t>Apr</t>
  </si>
  <si>
    <t>Silicon Saga</t>
  </si>
  <si>
    <t>Glam Garments</t>
  </si>
  <si>
    <t>Feast Flavors</t>
  </si>
  <si>
    <t>Space Spruce</t>
  </si>
  <si>
    <t>Balance Beam</t>
  </si>
  <si>
    <t>Fiber Fashion</t>
  </si>
  <si>
    <t>Cozy Corners</t>
  </si>
  <si>
    <t>Mar</t>
  </si>
  <si>
    <t>Elixir Essence</t>
  </si>
  <si>
    <t>Heal Hub</t>
  </si>
  <si>
    <t>Vigor Valley</t>
  </si>
  <si>
    <t>Chic Couture</t>
  </si>
  <si>
    <t>Dine Divine</t>
  </si>
  <si>
    <t>Savor Street</t>
  </si>
  <si>
    <t>Epicurean Edge</t>
  </si>
  <si>
    <t>Pixel Pioneers</t>
  </si>
  <si>
    <t>NexGen Nerds</t>
  </si>
  <si>
    <t>Quantum Quirks</t>
  </si>
  <si>
    <t>Style Sphere</t>
  </si>
  <si>
    <t>Culinary Quest</t>
  </si>
  <si>
    <t>Gadget Giants</t>
  </si>
  <si>
    <t>Palate Paradise</t>
  </si>
  <si>
    <t>Nosh Nirvana</t>
  </si>
  <si>
    <t>Attire Artistry</t>
  </si>
  <si>
    <t>Bistro Bliss</t>
  </si>
  <si>
    <t>Code Crafters</t>
  </si>
  <si>
    <t>Giga Geeks</t>
  </si>
  <si>
    <t>Mode Maven</t>
  </si>
  <si>
    <t>Vital Vigor</t>
  </si>
  <si>
    <t>Living Luxe</t>
  </si>
  <si>
    <t>Pulse Point</t>
  </si>
  <si>
    <t>Platform  Summary</t>
  </si>
  <si>
    <t>Total Spend</t>
  </si>
  <si>
    <t>Total Clicks</t>
  </si>
  <si>
    <t>Total Impressions</t>
  </si>
  <si>
    <t>Avg ROI</t>
  </si>
  <si>
    <t>Avg Conversion</t>
  </si>
  <si>
    <t>Grand Total</t>
  </si>
  <si>
    <t>Monthly Trends</t>
  </si>
  <si>
    <t xml:space="preserve"> Helper Tables</t>
  </si>
  <si>
    <t>Monthly Click  Chart Data</t>
  </si>
  <si>
    <t>Platform Spend Chart Data</t>
  </si>
  <si>
    <t xml:space="preserve">                                      Social Media Campaign Performance Dashboard</t>
  </si>
  <si>
    <t>Best Platform</t>
  </si>
  <si>
    <t>Created By: Anoosha Batool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</si>
</sst>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b/>
      <sz val="18"/>
      <color rgb="FF548235"/>
      <name val="Calibri"/>
      <scheme val="minor"/>
    </font>
    <font>
      <b/>
      <sz val="16"/>
      <color rgb="FF000000"/>
      <name val="Calibri"/>
      <scheme val="minor"/>
    </font>
    <font>
      <sz val="16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b/>
      <sz val="16"/>
      <color rgb="FF000000"/>
      <name val="Aptos Narrow"/>
    </font>
    <font>
      <sz val="11"/>
      <color theme="1"/>
      <name val="Aptos Narrow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14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NumberFormat="1"/>
    <xf numFmtId="0" fontId="16" fillId="33" borderId="10" xfId="0" applyFont="1" applyFill="1" applyBorder="1"/>
    <xf numFmtId="0" fontId="16" fillId="33" borderId="10" xfId="0" applyNumberFormat="1" applyFont="1" applyFill="1" applyBorder="1"/>
    <xf numFmtId="0" fontId="0" fillId="0" borderId="0" xfId="0" applyAlignment="1">
      <alignment horizontal="center"/>
    </xf>
    <xf numFmtId="0" fontId="0" fillId="34" borderId="0" xfId="0" applyFill="1"/>
    <xf numFmtId="0" fontId="20" fillId="34" borderId="0" xfId="0" applyFont="1" applyFill="1"/>
    <xf numFmtId="0" fontId="21" fillId="34" borderId="0" xfId="0" applyFont="1" applyFill="1"/>
    <xf numFmtId="0" fontId="0" fillId="35" borderId="0" xfId="0" applyFill="1"/>
    <xf numFmtId="0" fontId="22" fillId="36" borderId="0" xfId="0" applyFont="1" applyFill="1"/>
    <xf numFmtId="0" fontId="0" fillId="36" borderId="0" xfId="0" applyFill="1"/>
    <xf numFmtId="0" fontId="16" fillId="0" borderId="10" xfId="0" applyNumberFormat="1" applyFont="1" applyFill="1" applyBorder="1"/>
    <xf numFmtId="1" fontId="21" fillId="34" borderId="0" xfId="0" applyNumberFormat="1" applyFont="1" applyFill="1" applyAlignment="1">
      <alignment horizontal="center"/>
    </xf>
    <xf numFmtId="0" fontId="21" fillId="34" borderId="0" xfId="0" applyFont="1" applyFill="1" applyAlignment="1">
      <alignment horizontal="center" vertical="center"/>
    </xf>
    <xf numFmtId="0" fontId="20" fillId="34" borderId="0" xfId="0" applyFont="1" applyFill="1" applyAlignment="1">
      <alignment horizontal="center"/>
    </xf>
    <xf numFmtId="2" fontId="21" fillId="34" borderId="0" xfId="0" applyNumberFormat="1" applyFont="1" applyFill="1" applyAlignment="1">
      <alignment horizontal="center"/>
    </xf>
    <xf numFmtId="0" fontId="0" fillId="0" borderId="0" xfId="0" applyFill="1"/>
    <xf numFmtId="0" fontId="16" fillId="33" borderId="18" xfId="0" applyFont="1" applyFill="1" applyBorder="1"/>
    <xf numFmtId="0" fontId="16" fillId="33" borderId="19" xfId="0" applyFont="1" applyFill="1" applyBorder="1" applyAlignment="1">
      <alignment horizontal="center"/>
    </xf>
    <xf numFmtId="0" fontId="16" fillId="33" borderId="19" xfId="0" applyFont="1" applyFill="1" applyBorder="1"/>
    <xf numFmtId="0" fontId="0" fillId="0" borderId="12" xfId="0" applyBorder="1"/>
    <xf numFmtId="0" fontId="0" fillId="0" borderId="12" xfId="0" applyNumberFormat="1" applyBorder="1"/>
    <xf numFmtId="0" fontId="24" fillId="0" borderId="12" xfId="0" pivotButton="1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36" borderId="12" xfId="0" applyFont="1" applyFill="1" applyBorder="1" applyAlignment="1">
      <alignment horizontal="center"/>
    </xf>
    <xf numFmtId="0" fontId="19" fillId="35" borderId="0" xfId="0" applyFont="1" applyFill="1" applyAlignment="1"/>
    <xf numFmtId="0" fontId="0" fillId="35" borderId="0" xfId="0" applyFill="1" applyAlignment="1"/>
    <xf numFmtId="0" fontId="23" fillId="34" borderId="17" xfId="0" applyFont="1" applyFill="1" applyBorder="1" applyAlignment="1">
      <alignment horizontal="center"/>
    </xf>
    <xf numFmtId="0" fontId="0" fillId="34" borderId="17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23" fillId="34" borderId="20" xfId="0" applyFont="1" applyFill="1" applyBorder="1" applyAlignment="1">
      <alignment horizontal="center"/>
    </xf>
    <xf numFmtId="0" fontId="23" fillId="34" borderId="16" xfId="0" applyFont="1" applyFill="1" applyBorder="1" applyAlignment="1">
      <alignment horizontal="center"/>
    </xf>
    <xf numFmtId="0" fontId="23" fillId="34" borderId="21" xfId="0" applyFont="1" applyFill="1" applyBorder="1" applyAlignment="1">
      <alignment horizontal="center"/>
    </xf>
    <xf numFmtId="0" fontId="18" fillId="36" borderId="12" xfId="0" applyFont="1" applyFill="1" applyBorder="1" applyAlignment="1">
      <alignment horizontal="center"/>
    </xf>
    <xf numFmtId="0" fontId="0" fillId="36" borderId="12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/>
    </xf>
    <xf numFmtId="0" fontId="18" fillId="36" borderId="12" xfId="0" applyFont="1" applyFill="1" applyBorder="1" applyAlignment="1"/>
    <xf numFmtId="0" fontId="0" fillId="36" borderId="12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19" formatCode="m/d/yyyy"/>
    </dxf>
    <dxf>
      <fill>
        <patternFill patternType="solid">
          <fgColor indexed="64"/>
          <bgColor theme="4" tint="0.79998168889431442"/>
        </patternFill>
      </fill>
    </dxf>
    <dxf>
      <font>
        <name val="Aptos Narrow"/>
      </font>
    </dxf>
    <dxf>
      <font>
        <name val="Aptos Narrow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font>
        <name val="Aptos Narrow"/>
      </font>
    </dxf>
    <dxf>
      <font>
        <name val="Aptos Narrow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[Social_Media_Campaign_Dashboard.xlsx]Analysis!PivotTable1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Analysis!$D$2</c:f>
              <c:strCache>
                <c:ptCount val="1"/>
                <c:pt idx="0">
                  <c:v>Total Spend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C7-4019-B390-DFA087630A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C7-4019-B390-DFA087630A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C7-4019-B390-DFA087630A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C7-4019-B390-DFA087630A81}"/>
              </c:ext>
            </c:extLst>
          </c:dPt>
          <c:cat>
            <c:strRef>
              <c:f>Analysis!$C$3:$C$7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Pinterest</c:v>
                </c:pt>
                <c:pt idx="3">
                  <c:v>Twitter</c:v>
                </c:pt>
              </c:strCache>
            </c:strRef>
          </c:cat>
          <c:val>
            <c:numRef>
              <c:f>Analysis!$D$3:$D$7</c:f>
              <c:numCache>
                <c:formatCode>General</c:formatCode>
                <c:ptCount val="4"/>
                <c:pt idx="0">
                  <c:v>1959629.9299999995</c:v>
                </c:pt>
                <c:pt idx="1">
                  <c:v>1887716.4899999988</c:v>
                </c:pt>
                <c:pt idx="2">
                  <c:v>1905014.0000000007</c:v>
                </c:pt>
                <c:pt idx="3">
                  <c:v>1924057.6299999994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C7-4019-B390-DFA087630A81}"/>
            </c:ext>
          </c:extLst>
        </c:ser>
        <c:ser>
          <c:idx val="1"/>
          <c:order val="1"/>
          <c:tx>
            <c:strRef>
              <c:f>Analysis!$E$2</c:f>
              <c:strCache>
                <c:ptCount val="1"/>
                <c:pt idx="0">
                  <c:v>Total Clicks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7C7-4019-B390-DFA087630A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7C7-4019-B390-DFA087630A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7C7-4019-B390-DFA087630A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7C7-4019-B390-DFA087630A81}"/>
              </c:ext>
            </c:extLst>
          </c:dPt>
          <c:cat>
            <c:strRef>
              <c:f>Analysis!$C$3:$C$7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Pinterest</c:v>
                </c:pt>
                <c:pt idx="3">
                  <c:v>Twitter</c:v>
                </c:pt>
              </c:strCache>
            </c:strRef>
          </c:cat>
          <c:val>
            <c:numRef>
              <c:f>Analysis!$E$3:$E$7</c:f>
              <c:numCache>
                <c:formatCode>General</c:formatCode>
                <c:ptCount val="4"/>
                <c:pt idx="0">
                  <c:v>5116033</c:v>
                </c:pt>
                <c:pt idx="1">
                  <c:v>4938829</c:v>
                </c:pt>
                <c:pt idx="2">
                  <c:v>2920896</c:v>
                </c:pt>
                <c:pt idx="3">
                  <c:v>5026214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7C7-4019-B390-DFA087630A81}"/>
            </c:ext>
          </c:extLst>
        </c:ser>
        <c:ser>
          <c:idx val="2"/>
          <c:order val="2"/>
          <c:tx>
            <c:strRef>
              <c:f>Analysis!$F$2</c:f>
              <c:strCache>
                <c:ptCount val="1"/>
                <c:pt idx="0">
                  <c:v>Total Impressions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7C7-4019-B390-DFA087630A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7C7-4019-B390-DFA087630A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7C7-4019-B390-DFA087630A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7C7-4019-B390-DFA087630A81}"/>
              </c:ext>
            </c:extLst>
          </c:dPt>
          <c:cat>
            <c:strRef>
              <c:f>Analysis!$C$3:$C$7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Pinterest</c:v>
                </c:pt>
                <c:pt idx="3">
                  <c:v>Twitter</c:v>
                </c:pt>
              </c:strCache>
            </c:strRef>
          </c:cat>
          <c:val>
            <c:numRef>
              <c:f>Analysis!$F$3:$F$7</c:f>
              <c:numCache>
                <c:formatCode>General</c:formatCode>
                <c:ptCount val="4"/>
                <c:pt idx="0">
                  <c:v>15539907</c:v>
                </c:pt>
                <c:pt idx="1">
                  <c:v>14990697</c:v>
                </c:pt>
                <c:pt idx="2">
                  <c:v>9765249</c:v>
                </c:pt>
                <c:pt idx="3">
                  <c:v>15266226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7C7-4019-B390-DFA087630A81}"/>
            </c:ext>
          </c:extLst>
        </c:ser>
        <c:ser>
          <c:idx val="3"/>
          <c:order val="3"/>
          <c:tx>
            <c:strRef>
              <c:f>Analysis!$G$2</c:f>
              <c:strCache>
                <c:ptCount val="1"/>
                <c:pt idx="0">
                  <c:v>Avg ROI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C7C7-4019-B390-DFA087630A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C7C7-4019-B390-DFA087630A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C7C7-4019-B390-DFA087630A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C7C7-4019-B390-DFA087630A81}"/>
              </c:ext>
            </c:extLst>
          </c:dPt>
          <c:cat>
            <c:strRef>
              <c:f>Analysis!$C$3:$C$7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Pinterest</c:v>
                </c:pt>
                <c:pt idx="3">
                  <c:v>Twitter</c:v>
                </c:pt>
              </c:strCache>
            </c:strRef>
          </c:cat>
          <c:val>
            <c:numRef>
              <c:f>Analysis!$G$3:$G$7</c:f>
              <c:numCache>
                <c:formatCode>General</c:formatCode>
                <c:ptCount val="4"/>
                <c:pt idx="0">
                  <c:v>4.1976377952755906</c:v>
                </c:pt>
                <c:pt idx="1">
                  <c:v>3.869579831932775</c:v>
                </c:pt>
                <c:pt idx="2">
                  <c:v>0.68766625866225684</c:v>
                </c:pt>
                <c:pt idx="3">
                  <c:v>3.8412851405622459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C7C7-4019-B390-DFA087630A81}"/>
            </c:ext>
          </c:extLst>
        </c:ser>
        <c:ser>
          <c:idx val="4"/>
          <c:order val="4"/>
          <c:tx>
            <c:strRef>
              <c:f>Analysis!$H$2</c:f>
              <c:strCache>
                <c:ptCount val="1"/>
                <c:pt idx="0">
                  <c:v>Avg Conversion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7C7-4019-B390-DFA087630A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7C7-4019-B390-DFA087630A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7C7-4019-B390-DFA087630A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7C7-4019-B390-DFA087630A81}"/>
              </c:ext>
            </c:extLst>
          </c:dPt>
          <c:cat>
            <c:strRef>
              <c:f>Analysis!$C$3:$C$7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Pinterest</c:v>
                </c:pt>
                <c:pt idx="3">
                  <c:v>Twitter</c:v>
                </c:pt>
              </c:strCache>
            </c:strRef>
          </c:cat>
          <c:val>
            <c:numRef>
              <c:f>Analysis!$H$3:$H$7</c:f>
              <c:numCache>
                <c:formatCode>General</c:formatCode>
                <c:ptCount val="4"/>
                <c:pt idx="0">
                  <c:v>7.8503937007873961E-2</c:v>
                </c:pt>
                <c:pt idx="1">
                  <c:v>8.4327731092436894E-2</c:v>
                </c:pt>
                <c:pt idx="2">
                  <c:v>8.1660231660231619E-2</c:v>
                </c:pt>
                <c:pt idx="3">
                  <c:v>8.1164658634538117E-2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C7C7-4019-B390-DFA087630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Clicks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Analysis!$H$12</c:f>
              <c:strCache>
                <c:ptCount val="1"/>
                <c:pt idx="0">
                  <c:v>Total Clicks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Analysis!$G$13:$G$25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Analysis!$H$13:$H$25</c:f>
              <c:numCache>
                <c:formatCode>General</c:formatCode>
                <c:ptCount val="13"/>
                <c:pt idx="0">
                  <c:v>1078338</c:v>
                </c:pt>
                <c:pt idx="1">
                  <c:v>1672873</c:v>
                </c:pt>
                <c:pt idx="2">
                  <c:v>1519554</c:v>
                </c:pt>
                <c:pt idx="3">
                  <c:v>1213098</c:v>
                </c:pt>
                <c:pt idx="4">
                  <c:v>1624143</c:v>
                </c:pt>
                <c:pt idx="5">
                  <c:v>1402957</c:v>
                </c:pt>
                <c:pt idx="6">
                  <c:v>1881379</c:v>
                </c:pt>
                <c:pt idx="7">
                  <c:v>1710725</c:v>
                </c:pt>
                <c:pt idx="8">
                  <c:v>1569297</c:v>
                </c:pt>
                <c:pt idx="9">
                  <c:v>1349179</c:v>
                </c:pt>
                <c:pt idx="10">
                  <c:v>1611043</c:v>
                </c:pt>
                <c:pt idx="11">
                  <c:v>1369386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16-4631-8837-A3D149B4A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60743"/>
        <c:axId val="53031431"/>
      </c:lineChart>
      <c:catAx>
        <c:axId val="52660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31431"/>
        <c:crosses val="autoZero"/>
        <c:auto val="1"/>
        <c:lblAlgn val="ctr"/>
        <c:lblOffset val="100"/>
        <c:noMultiLvlLbl val="0"/>
      </c:catAx>
      <c:valAx>
        <c:axId val="53031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60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Analysis!$K$12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rgbClr val="B4C6E7"/>
            </a:solidFill>
            <a:ln>
              <a:noFill/>
            </a:ln>
            <a:effectLst/>
          </c:spPr>
          <c:invertIfNegative val="0"/>
          <c:cat>
            <c:strRef>
              <c:f>Analysis!$J$13:$J$16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Pinterest</c:v>
                </c:pt>
                <c:pt idx="3">
                  <c:v>Twitter</c:v>
                </c:pt>
              </c:strCache>
            </c:strRef>
          </c:cat>
          <c:val>
            <c:numRef>
              <c:f>Analysis!$K$13:$K$16</c:f>
              <c:numCache>
                <c:formatCode>General</c:formatCode>
                <c:ptCount val="4"/>
                <c:pt idx="0">
                  <c:v>1959629.9299999995</c:v>
                </c:pt>
                <c:pt idx="1">
                  <c:v>1887716.4899999988</c:v>
                </c:pt>
                <c:pt idx="2">
                  <c:v>1905014.0000000007</c:v>
                </c:pt>
                <c:pt idx="3">
                  <c:v>1924057.63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1-4F24-B942-C897DF030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072263"/>
        <c:axId val="535074311"/>
      </c:barChart>
      <c:catAx>
        <c:axId val="535072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074311"/>
        <c:crosses val="autoZero"/>
        <c:auto val="1"/>
        <c:lblAlgn val="ctr"/>
        <c:lblOffset val="100"/>
        <c:noMultiLvlLbl val="0"/>
      </c:catAx>
      <c:valAx>
        <c:axId val="535074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072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809625</xdr:colOff>
      <xdr:row>4</xdr:row>
      <xdr:rowOff>19050</xdr:rowOff>
    </xdr:from>
    <xdr:to>
      <xdr:col>11</xdr:col>
      <xdr:colOff>66675</xdr:colOff>
      <xdr:row>15</xdr:row>
      <xdr:rowOff>38100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1C2894CB-275A-4DB6-AFE5-C247B15F202A}"/>
            </a:ext>
            <a:ext uri="{147F2762-F138-4A5C-976F-8EAC2B608ADB}">
              <a16:predDERef xmlns:a16="http://schemas.microsoft.com/office/drawing/2014/main" pred="{225297A6-36B8-478F-938F-C02991C12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733425</xdr:colOff>
      <xdr:row>16</xdr:row>
      <xdr:rowOff>76200</xdr:rowOff>
    </xdr:from>
    <xdr:to>
      <xdr:col>10</xdr:col>
      <xdr:colOff>590550</xdr:colOff>
      <xdr:row>27</xdr:row>
      <xdr:rowOff>114300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C41566B3-C6D9-4938-8404-FA46869095D3}"/>
            </a:ext>
            <a:ext uri="{147F2762-F138-4A5C-976F-8EAC2B608ADB}">
              <a16:predDERef xmlns:a16="http://schemas.microsoft.com/office/drawing/2014/main" pred="{1C2894CB-275A-4DB6-AFE5-C247B15F2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</xdr:row>
      <xdr:rowOff>180975</xdr:rowOff>
    </xdr:from>
    <xdr:to>
      <xdr:col>5</xdr:col>
      <xdr:colOff>571500</xdr:colOff>
      <xdr:row>15</xdr:row>
      <xdr:rowOff>19050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C255AECC-5B48-4E14-91E7-E8DFBA68EBE0}"/>
            </a:ext>
            <a:ext uri="{147F2762-F138-4A5C-976F-8EAC2B608ADB}">
              <a16:predDERef xmlns:a16="http://schemas.microsoft.com/office/drawing/2014/main" pred="{C41566B3-C6D9-4938-8404-FA4686909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4.796101967593" createdVersion="8" refreshedVersion="8" minRefreshableVersion="3" recordCount="1000" xr:uid="{524F9FBE-3836-4998-9DC4-05847BE1F6F7}">
  <cacheSource type="worksheet">
    <worksheetSource name="Table2"/>
  </cacheSource>
  <cacheFields count="17">
    <cacheField name="Target_Audience" numFmtId="0">
      <sharedItems/>
    </cacheField>
    <cacheField name="Campaign_Goal" numFmtId="0">
      <sharedItems/>
    </cacheField>
    <cacheField name="Duration" numFmtId="0">
      <sharedItems/>
    </cacheField>
    <cacheField name="Channel_Used" numFmtId="0">
      <sharedItems count="4">
        <s v="Twitter"/>
        <s v="Facebook"/>
        <s v="Pinterest"/>
        <s v="Instagram"/>
      </sharedItems>
    </cacheField>
    <cacheField name="Conversion_Rate" numFmtId="0">
      <sharedItems containsSemiMixedTypes="0" containsString="0" containsNumber="1" minValue="0.01" maxValue="0.15"/>
    </cacheField>
    <cacheField name="Acquisition_Cost" numFmtId="0">
      <sharedItems containsSemiMixedTypes="0" containsString="0" containsNumber="1" minValue="500" maxValue="15000"/>
    </cacheField>
    <cacheField name="ROI" numFmtId="0">
      <sharedItems containsSemiMixedTypes="0" containsString="0" containsNumber="1" minValue="3.5749452734020002E-3" maxValue="7.99"/>
    </cacheField>
    <cacheField name="Clicks" numFmtId="0">
      <sharedItems containsSemiMixedTypes="0" containsString="0" containsNumber="1" containsInteger="1" minValue="460" maxValue="39910"/>
    </cacheField>
    <cacheField name="Impressions" numFmtId="0">
      <sharedItems containsSemiMixedTypes="0" containsString="0" containsNumber="1" containsInteger="1" minValue="2479" maxValue="119735"/>
    </cacheField>
    <cacheField name="Engagement_Score" numFmtId="0">
      <sharedItems containsSemiMixedTypes="0" containsString="0" containsNumber="1" containsInteger="1" minValue="1" maxValue="10"/>
    </cacheField>
    <cacheField name="Customer_Segment" numFmtId="0">
      <sharedItems/>
    </cacheField>
    <cacheField name="Date" numFmtId="14">
      <sharedItems containsSemiMixedTypes="0" containsNonDate="0" containsDate="1" containsString="0" minDate="2022-01-01T00:00:00" maxDate="2023-01-01T00:00:00"/>
    </cacheField>
    <cacheField name="Company" numFmtId="0">
      <sharedItems/>
    </cacheField>
    <cacheField name="Month" numFmtId="0">
      <sharedItems count="12">
        <s v="Jul"/>
        <s v="Jan"/>
        <s v="Aug"/>
        <s v="Nov"/>
        <s v="May"/>
        <s v="Oct"/>
        <s v="Feb"/>
        <s v="Dec"/>
        <s v="Sep"/>
        <s v="Jun"/>
        <s v="Apr"/>
        <s v="Mar"/>
      </sharedItems>
    </cacheField>
    <cacheField name="Budget_Planned" numFmtId="0">
      <sharedItems containsSemiMixedTypes="0" containsString="0" containsNumber="1" minValue="550" maxValue="16500"/>
    </cacheField>
    <cacheField name="Variance" numFmtId="0">
      <sharedItems containsSemiMixedTypes="0" containsString="0" containsNumber="1" minValue="50" maxValue="1500"/>
    </cacheField>
    <cacheField name="Cost_Per_Click" numFmtId="0">
      <sharedItems containsSemiMixedTypes="0" containsString="0" containsNumber="1" minValue="0.24" maxValue="1.09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Men 45-60"/>
    <s v="Product Launch"/>
    <s v="15 Days"/>
    <x v="0"/>
    <n v="0.04"/>
    <n v="500"/>
    <n v="6.79"/>
    <n v="1150"/>
    <n v="4926"/>
    <n v="1"/>
    <s v="Home"/>
    <d v="2022-07-18T00:00:00"/>
    <s v="Nest Neat"/>
    <x v="0"/>
    <n v="550"/>
    <n v="50"/>
    <n v="0.43"/>
  </r>
  <r>
    <s v="Women 25-34"/>
    <s v="Brand Awareness"/>
    <s v="15 Days"/>
    <x v="0"/>
    <n v="0.1"/>
    <n v="2977.3"/>
    <n v="2.08"/>
    <n v="7317"/>
    <n v="23192"/>
    <n v="9"/>
    <s v="Home"/>
    <d v="2022-01-17T00:00:00"/>
    <s v="Furnish Fine"/>
    <x v="1"/>
    <n v="3275.03"/>
    <n v="297.73"/>
    <n v="0.41"/>
  </r>
  <r>
    <s v="Men 35-44"/>
    <s v="Increase Sales"/>
    <s v="30 Days"/>
    <x v="0"/>
    <n v="0.13"/>
    <n v="6064.53"/>
    <n v="4.49"/>
    <n v="15675"/>
    <n v="47948"/>
    <n v="8"/>
    <s v="Home"/>
    <d v="2022-08-03T00:00:00"/>
    <s v="Decor Dreams"/>
    <x v="2"/>
    <n v="6670.9830000000002"/>
    <n v="606.45299999999997"/>
    <n v="0.39"/>
  </r>
  <r>
    <s v="Women 35-44"/>
    <s v="Market Expansion"/>
    <s v="60 Days"/>
    <x v="1"/>
    <n v="0.15"/>
    <n v="15000"/>
    <n v="4.1900000000000004"/>
    <n v="39910"/>
    <n v="119735"/>
    <n v="4"/>
    <s v="Technology"/>
    <d v="2022-07-26T00:00:00"/>
    <s v="Innovate Infinity"/>
    <x v="0"/>
    <n v="16500"/>
    <n v="1500"/>
    <n v="0.38"/>
  </r>
  <r>
    <s v="Women 45-60"/>
    <s v="Market Expansion"/>
    <s v="45 Days"/>
    <x v="0"/>
    <n v="0.15"/>
    <n v="8899.65"/>
    <n v="5.09"/>
    <n v="23353"/>
    <n v="70692"/>
    <n v="6"/>
    <s v="Home"/>
    <d v="2022-11-05T00:00:00"/>
    <s v="Decor Dreams"/>
    <x v="3"/>
    <n v="9789.6149999999998"/>
    <n v="889.96500000000003"/>
    <n v="0.38"/>
  </r>
  <r>
    <s v="Men 45-60"/>
    <s v="Increase Sales"/>
    <s v="15 Days"/>
    <x v="2"/>
    <n v="0.11"/>
    <n v="1857.02"/>
    <n v="0.27705825868865502"/>
    <n v="2679"/>
    <n v="9707"/>
    <n v="1"/>
    <s v="Home"/>
    <d v="2022-05-03T00:00:00"/>
    <s v="Homely Haven"/>
    <x v="4"/>
    <n v="2042.722"/>
    <n v="185.702"/>
    <n v="0.69"/>
  </r>
  <r>
    <s v="All Ages"/>
    <s v="Product Launch"/>
    <s v="60 Days"/>
    <x v="1"/>
    <n v="0.02"/>
    <n v="12347.82"/>
    <n v="6.09"/>
    <n v="32688"/>
    <n v="98344"/>
    <n v="1"/>
    <s v="Food"/>
    <d v="2022-07-19T00:00:00"/>
    <s v="Gourmet Grove"/>
    <x v="0"/>
    <n v="13582.602000000001"/>
    <n v="1234.7819999999999"/>
    <n v="0.38"/>
  </r>
  <r>
    <s v="All Ages"/>
    <s v="Increase Sales"/>
    <s v="30 Days"/>
    <x v="2"/>
    <n v="0.03"/>
    <n v="6681.21"/>
    <n v="1.2851928257880201"/>
    <n v="10176"/>
    <n v="34115"/>
    <n v="1"/>
    <s v="Home"/>
    <d v="2022-07-24T00:00:00"/>
    <s v="Hearth Harmony"/>
    <x v="0"/>
    <n v="7349.3310000000001"/>
    <n v="668.121000000001"/>
    <n v="0.66"/>
  </r>
  <r>
    <s v="Men 18-24"/>
    <s v="Product Launch"/>
    <s v="15 Days"/>
    <x v="3"/>
    <n v="0.11"/>
    <n v="3956.43"/>
    <n v="2.19"/>
    <n v="9921"/>
    <n v="30907"/>
    <n v="4"/>
    <s v="Technology"/>
    <d v="2022-11-08T00:00:00"/>
    <s v="Innovate Infinity"/>
    <x v="3"/>
    <n v="4352.0730000000003"/>
    <n v="395.64299999999997"/>
    <n v="0.4"/>
  </r>
  <r>
    <s v="Men 35-44"/>
    <s v="Increase Sales"/>
    <s v="45 Days"/>
    <x v="3"/>
    <n v="0.05"/>
    <n v="11047.8"/>
    <n v="3.18"/>
    <n v="29204"/>
    <n v="88024"/>
    <n v="5"/>
    <s v="Fashion"/>
    <d v="2022-07-28T00:00:00"/>
    <s v="Runway Rebels"/>
    <x v="0"/>
    <n v="12152.58"/>
    <n v="1104.78"/>
    <n v="0.38"/>
  </r>
  <r>
    <s v="Women 45-60"/>
    <s v="Brand Awareness"/>
    <s v="30 Days"/>
    <x v="0"/>
    <n v="0.05"/>
    <n v="7673.11"/>
    <n v="0.31"/>
    <n v="20014"/>
    <n v="60801"/>
    <n v="10"/>
    <s v="Health"/>
    <d v="2022-01-19T00:00:00"/>
    <s v="Fitness Front"/>
    <x v="1"/>
    <n v="8440.4210000000003"/>
    <n v="767.31100000000004"/>
    <n v="0.38"/>
  </r>
  <r>
    <s v="Women 45-60"/>
    <s v="Market Expansion"/>
    <s v="45 Days"/>
    <x v="1"/>
    <n v="0.02"/>
    <n v="8032.81"/>
    <n v="5.73"/>
    <n v="21005"/>
    <n v="63736"/>
    <n v="3"/>
    <s v="Home"/>
    <d v="2022-05-09T00:00:00"/>
    <s v="Nest Neat"/>
    <x v="4"/>
    <n v="8836.0910000000003"/>
    <n v="803.28099999999995"/>
    <n v="0.38"/>
  </r>
  <r>
    <s v="Men 35-44"/>
    <s v="Market Expansion"/>
    <s v="30 Days"/>
    <x v="0"/>
    <n v="0.06"/>
    <n v="5363.07"/>
    <n v="1.9"/>
    <n v="13758"/>
    <n v="42272"/>
    <n v="7"/>
    <s v="Home"/>
    <d v="2022-07-30T00:00:00"/>
    <s v="Furnish Fine"/>
    <x v="0"/>
    <n v="5899.3770000000004"/>
    <n v="536.30700000000002"/>
    <n v="0.39"/>
  </r>
  <r>
    <s v="Men 25-34"/>
    <s v="Brand Awareness"/>
    <s v="60 Days"/>
    <x v="3"/>
    <n v="0.08"/>
    <n v="12193.26"/>
    <n v="2.86"/>
    <n v="32284"/>
    <n v="97147"/>
    <n v="1"/>
    <s v="Technology"/>
    <d v="2022-10-13T00:00:00"/>
    <s v="Cyber Circuit"/>
    <x v="5"/>
    <n v="13412.585999999999"/>
    <n v="1219.326"/>
    <n v="0.38"/>
  </r>
  <r>
    <s v="Men 35-44"/>
    <s v="Brand Awareness"/>
    <s v="45 Days"/>
    <x v="3"/>
    <n v="0.02"/>
    <n v="9949.93"/>
    <n v="3.11"/>
    <n v="26210"/>
    <n v="79156"/>
    <n v="10"/>
    <s v="Health"/>
    <d v="2022-11-05T00:00:00"/>
    <s v="Aura Align"/>
    <x v="3"/>
    <n v="10944.923000000001"/>
    <n v="994.99300000000005"/>
    <n v="0.38"/>
  </r>
  <r>
    <s v="Women 35-44"/>
    <s v="Product Launch"/>
    <s v="60 Days"/>
    <x v="3"/>
    <n v="0.04"/>
    <n v="12061.15"/>
    <n v="0.03"/>
    <n v="31924"/>
    <n v="96078"/>
    <n v="2"/>
    <s v="Fashion"/>
    <d v="2022-02-15T00:00:00"/>
    <s v="Trend Tailors"/>
    <x v="6"/>
    <n v="13267.264999999999"/>
    <n v="1206.115"/>
    <n v="0.38"/>
  </r>
  <r>
    <s v="Women 45-60"/>
    <s v="Market Expansion"/>
    <s v="60 Days"/>
    <x v="1"/>
    <n v="0.05"/>
    <n v="13305.5"/>
    <n v="0.46"/>
    <n v="35122"/>
    <n v="105553"/>
    <n v="6"/>
    <s v="Home"/>
    <d v="2022-02-08T00:00:00"/>
    <s v="Domestic Dream"/>
    <x v="6"/>
    <n v="14636.05"/>
    <n v="1330.55"/>
    <n v="0.38"/>
  </r>
  <r>
    <s v="Men 25-34"/>
    <s v="Product Launch"/>
    <s v="45 Days"/>
    <x v="3"/>
    <n v="0.08"/>
    <n v="10519.22"/>
    <n v="2.48"/>
    <n v="27765"/>
    <n v="83762"/>
    <n v="2"/>
    <s v="Fashion"/>
    <d v="2022-12-28T00:00:00"/>
    <s v="Silk &amp; Style"/>
    <x v="7"/>
    <n v="11571.142"/>
    <n v="1051.922"/>
    <n v="0.38"/>
  </r>
  <r>
    <s v="Men 18-24"/>
    <s v="Product Launch"/>
    <s v="60 Days"/>
    <x v="2"/>
    <n v="0.06"/>
    <n v="15000"/>
    <n v="0.61846553229854795"/>
    <n v="23407"/>
    <n v="77198"/>
    <n v="1"/>
    <s v="Technology"/>
    <d v="2022-02-07T00:00:00"/>
    <s v="Tech Titans"/>
    <x v="6"/>
    <n v="16500"/>
    <n v="1500"/>
    <n v="0.64"/>
  </r>
  <r>
    <s v="All Ages"/>
    <s v="Market Expansion"/>
    <s v="45 Days"/>
    <x v="2"/>
    <n v="0.15"/>
    <n v="11188.5"/>
    <n v="3.5749452734020002E-3"/>
    <n v="17379"/>
    <n v="57571"/>
    <n v="1"/>
    <s v="Technology"/>
    <d v="2022-09-21T00:00:00"/>
    <s v="Cyber Circuit"/>
    <x v="8"/>
    <n v="12307.35"/>
    <n v="1118.8499999999999"/>
    <n v="0.64"/>
  </r>
  <r>
    <s v="Women 25-34"/>
    <s v="Increase Sales"/>
    <s v="15 Days"/>
    <x v="1"/>
    <n v="0.05"/>
    <n v="4101.84"/>
    <n v="6.51"/>
    <n v="10319"/>
    <n v="32086"/>
    <n v="4"/>
    <s v="Home"/>
    <d v="2022-11-10T00:00:00"/>
    <s v="Furnish Fine"/>
    <x v="3"/>
    <n v="4512.0240000000003"/>
    <n v="410.18400000000003"/>
    <n v="0.4"/>
  </r>
  <r>
    <s v="Men 18-24"/>
    <s v="Brand Awareness"/>
    <s v="60 Days"/>
    <x v="3"/>
    <n v="0.02"/>
    <n v="12805.48"/>
    <n v="7.18"/>
    <n v="33887"/>
    <n v="101895"/>
    <n v="6"/>
    <s v="Health"/>
    <d v="2022-02-04T00:00:00"/>
    <s v="Well Wish"/>
    <x v="6"/>
    <n v="14086.028"/>
    <n v="1280.548"/>
    <n v="0.38"/>
  </r>
  <r>
    <s v="Women 18-24"/>
    <s v="Increase Sales"/>
    <s v="15 Days"/>
    <x v="0"/>
    <n v="7.0000000000000007E-2"/>
    <n v="2763.95"/>
    <n v="4.22"/>
    <n v="6769"/>
    <n v="21571"/>
    <n v="2"/>
    <s v="Health"/>
    <d v="2022-06-14T00:00:00"/>
    <s v="Wellness Waves"/>
    <x v="9"/>
    <n v="3040.3449999999998"/>
    <n v="276.39499999999998"/>
    <n v="0.41"/>
  </r>
  <r>
    <s v="Women 35-44"/>
    <s v="Product Launch"/>
    <s v="30 Days"/>
    <x v="1"/>
    <n v="7.0000000000000007E-2"/>
    <n v="4979.96"/>
    <n v="4.22"/>
    <n v="12715"/>
    <n v="39181"/>
    <n v="6"/>
    <s v="Technology"/>
    <d v="2022-02-18T00:00:00"/>
    <s v="Tech Titans"/>
    <x v="6"/>
    <n v="5477.9560000000001"/>
    <n v="497.99599999999998"/>
    <n v="0.39"/>
  </r>
  <r>
    <s v="Men 35-44"/>
    <s v="Product Launch"/>
    <s v="30 Days"/>
    <x v="0"/>
    <n v="0.14000000000000001"/>
    <n v="6144.87"/>
    <n v="7.44"/>
    <n v="15892"/>
    <n v="48592"/>
    <n v="9"/>
    <s v="Food"/>
    <d v="2022-08-24T00:00:00"/>
    <s v="Gastronomy Guild"/>
    <x v="2"/>
    <n v="6759.357"/>
    <n v="614.48700000000099"/>
    <n v="0.39"/>
  </r>
  <r>
    <s v="All Ages"/>
    <s v="Market Expansion"/>
    <s v="45 Days"/>
    <x v="0"/>
    <n v="7.0000000000000007E-2"/>
    <n v="10579.97"/>
    <n v="4.0199999999999996"/>
    <n v="27933"/>
    <n v="84257"/>
    <n v="9"/>
    <s v="Home"/>
    <d v="2022-07-14T00:00:00"/>
    <s v="Dwell Delight"/>
    <x v="0"/>
    <n v="11637.967000000001"/>
    <n v="1057.9970000000001"/>
    <n v="0.38"/>
  </r>
  <r>
    <s v="Men 25-34"/>
    <s v="Brand Awareness"/>
    <s v="30 Days"/>
    <x v="3"/>
    <n v="0.08"/>
    <n v="4171.6899999999996"/>
    <n v="7.66"/>
    <n v="10512"/>
    <n v="32657"/>
    <n v="2"/>
    <s v="Fashion"/>
    <d v="2022-04-05T00:00:00"/>
    <s v="Vogue Visions"/>
    <x v="10"/>
    <n v="4588.8590000000004"/>
    <n v="417.16899999999998"/>
    <n v="0.4"/>
  </r>
  <r>
    <s v="Women 35-44"/>
    <s v="Market Expansion"/>
    <s v="45 Days"/>
    <x v="3"/>
    <n v="0.11"/>
    <n v="10306.780000000001"/>
    <n v="6.88"/>
    <n v="27184"/>
    <n v="82040"/>
    <n v="3"/>
    <s v="Fashion"/>
    <d v="2022-06-30T00:00:00"/>
    <s v="Trend Tailors"/>
    <x v="9"/>
    <n v="11337.458000000001"/>
    <n v="1030.6780000000001"/>
    <n v="0.38"/>
  </r>
  <r>
    <s v="Women 25-34"/>
    <s v="Increase Sales"/>
    <s v="15 Days"/>
    <x v="1"/>
    <n v="0.04"/>
    <n v="3497.84"/>
    <n v="7.94"/>
    <n v="8681"/>
    <n v="27232"/>
    <n v="6"/>
    <s v="Home"/>
    <d v="2022-05-04T00:00:00"/>
    <s v="Furnish Fine"/>
    <x v="4"/>
    <n v="3847.6239999999998"/>
    <n v="349.78399999999999"/>
    <n v="0.4"/>
  </r>
  <r>
    <s v="All Ages"/>
    <s v="Market Expansion"/>
    <s v="60 Days"/>
    <x v="3"/>
    <n v="0.02"/>
    <n v="14169.26"/>
    <n v="5.56"/>
    <n v="37018"/>
    <n v="111168"/>
    <n v="5"/>
    <s v="Technology"/>
    <d v="2022-11-21T00:00:00"/>
    <s v="Silicon Saga"/>
    <x v="3"/>
    <n v="15586.186"/>
    <n v="1416.9259999999999"/>
    <n v="0.38"/>
  </r>
  <r>
    <s v="Women 25-34"/>
    <s v="Brand Awareness"/>
    <s v="15 Days"/>
    <x v="2"/>
    <n v="0.05"/>
    <n v="3597.5"/>
    <n v="0.86871170143668897"/>
    <n v="5257"/>
    <n v="18100"/>
    <n v="1"/>
    <s v="Fashion"/>
    <d v="2022-12-09T00:00:00"/>
    <s v="Silk &amp; Style"/>
    <x v="7"/>
    <n v="3957.25"/>
    <n v="359.75"/>
    <n v="0.68"/>
  </r>
  <r>
    <s v="Men 25-34"/>
    <s v="Increase Sales"/>
    <s v="60 Days"/>
    <x v="0"/>
    <n v="0.08"/>
    <n v="15000"/>
    <n v="7.63"/>
    <n v="39450"/>
    <n v="118370"/>
    <n v="6"/>
    <s v="Health"/>
    <d v="2022-08-31T00:00:00"/>
    <s v="Aura Align"/>
    <x v="2"/>
    <n v="16500"/>
    <n v="1500"/>
    <n v="0.38"/>
  </r>
  <r>
    <s v="Women 25-34"/>
    <s v="Market Expansion"/>
    <s v="15 Days"/>
    <x v="2"/>
    <n v="0.08"/>
    <n v="1646"/>
    <n v="0.13048550247917301"/>
    <n v="2411"/>
    <n v="8833"/>
    <n v="1"/>
    <s v="Fashion"/>
    <d v="2022-04-19T00:00:00"/>
    <s v="Glam Garments"/>
    <x v="10"/>
    <n v="1810.6"/>
    <n v="164.6"/>
    <n v="0.68"/>
  </r>
  <r>
    <s v="Women 35-44"/>
    <s v="Product Launch"/>
    <s v="45 Days"/>
    <x v="0"/>
    <n v="0.06"/>
    <n v="10346.33"/>
    <n v="0.3"/>
    <n v="27294"/>
    <n v="82365"/>
    <n v="7"/>
    <s v="Home"/>
    <d v="2022-07-02T00:00:00"/>
    <s v="Hearth Harmony"/>
    <x v="0"/>
    <n v="11380.963"/>
    <n v="1034.633"/>
    <n v="0.38"/>
  </r>
  <r>
    <s v="Women 35-44"/>
    <s v="Increase Sales"/>
    <s v="60 Days"/>
    <x v="3"/>
    <n v="0.04"/>
    <n v="13391.74"/>
    <n v="7.22"/>
    <n v="35326"/>
    <n v="106157"/>
    <n v="10"/>
    <s v="Home"/>
    <d v="2022-10-06T00:00:00"/>
    <s v="Decor Dreams"/>
    <x v="5"/>
    <n v="14730.914000000001"/>
    <n v="1339.174"/>
    <n v="0.38"/>
  </r>
  <r>
    <s v="Women 35-44"/>
    <s v="Increase Sales"/>
    <s v="60 Days"/>
    <x v="1"/>
    <n v="0.06"/>
    <n v="15000"/>
    <n v="0.28999999999999998"/>
    <n v="39665"/>
    <n v="119007"/>
    <n v="6"/>
    <s v="Food"/>
    <d v="2022-05-15T00:00:00"/>
    <s v="Feast Flavors"/>
    <x v="4"/>
    <n v="16500"/>
    <n v="1500"/>
    <n v="0.38"/>
  </r>
  <r>
    <s v="Men 18-24"/>
    <s v="Increase Sales"/>
    <s v="30 Days"/>
    <x v="1"/>
    <n v="0.12"/>
    <n v="7172.75"/>
    <n v="6.38"/>
    <n v="18668"/>
    <n v="56814"/>
    <n v="9"/>
    <s v="Home"/>
    <d v="2022-04-29T00:00:00"/>
    <s v="Space Spruce"/>
    <x v="10"/>
    <n v="7890.0249999999996"/>
    <n v="717.27499999999998"/>
    <n v="0.38"/>
  </r>
  <r>
    <s v="Women 35-44"/>
    <s v="Product Launch"/>
    <s v="15 Days"/>
    <x v="0"/>
    <n v="0.12"/>
    <n v="2763.96"/>
    <n v="3.69"/>
    <n v="6770"/>
    <n v="21572"/>
    <n v="7"/>
    <s v="Health"/>
    <d v="2022-06-25T00:00:00"/>
    <s v="Balance Beam"/>
    <x v="9"/>
    <n v="3040.3560000000002"/>
    <n v="276.39600000000002"/>
    <n v="0.41"/>
  </r>
  <r>
    <s v="Men 35-44"/>
    <s v="Increase Sales"/>
    <s v="15 Days"/>
    <x v="1"/>
    <n v="0.06"/>
    <n v="1285.22"/>
    <n v="4.0599999999999996"/>
    <n v="3384"/>
    <n v="11545"/>
    <n v="9"/>
    <s v="Fashion"/>
    <d v="2022-08-12T00:00:00"/>
    <s v="Fiber Fashion"/>
    <x v="2"/>
    <n v="1413.742"/>
    <n v="128.52199999999999"/>
    <n v="0.38"/>
  </r>
  <r>
    <s v="Women 18-24"/>
    <s v="Product Launch"/>
    <s v="30 Days"/>
    <x v="2"/>
    <n v="0.12"/>
    <n v="5048.26"/>
    <n v="0.21807166167752201"/>
    <n v="7576"/>
    <n v="25651"/>
    <n v="1"/>
    <s v="Home"/>
    <d v="2022-03-24T00:00:00"/>
    <s v="Cozy Corners"/>
    <x v="11"/>
    <n v="5553.0860000000002"/>
    <n v="504.82600000000002"/>
    <n v="0.67"/>
  </r>
  <r>
    <s v="Men 45-60"/>
    <s v="Increase Sales"/>
    <s v="15 Days"/>
    <x v="0"/>
    <n v="0.11"/>
    <n v="3789.47"/>
    <n v="3.13"/>
    <n v="9468"/>
    <n v="29565"/>
    <n v="10"/>
    <s v="Home"/>
    <d v="2022-01-12T00:00:00"/>
    <s v="Space Spruce"/>
    <x v="1"/>
    <n v="4168.4170000000004"/>
    <n v="378.947"/>
    <n v="0.4"/>
  </r>
  <r>
    <s v="Men 35-44"/>
    <s v="Increase Sales"/>
    <s v="15 Days"/>
    <x v="2"/>
    <n v="0.12"/>
    <n v="2339.0700000000002"/>
    <n v="0.26812089550515"/>
    <n v="3359"/>
    <n v="11919"/>
    <n v="1"/>
    <s v="Health"/>
    <d v="2022-01-08T00:00:00"/>
    <s v="Elixir Essence"/>
    <x v="1"/>
    <n v="2572.9769999999999"/>
    <n v="233.90700000000001"/>
    <n v="0.7"/>
  </r>
  <r>
    <s v="Women 25-34"/>
    <s v="Increase Sales"/>
    <s v="15 Days"/>
    <x v="0"/>
    <n v="0.13"/>
    <n v="4062.11"/>
    <n v="5.03"/>
    <n v="10206"/>
    <n v="31751"/>
    <n v="8"/>
    <s v="Health"/>
    <d v="2022-02-15T00:00:00"/>
    <s v="Heal Hub"/>
    <x v="6"/>
    <n v="4468.3209999999999"/>
    <n v="406.21100000000001"/>
    <n v="0.4"/>
  </r>
  <r>
    <s v="Men 45-60"/>
    <s v="Market Expansion"/>
    <s v="30 Days"/>
    <x v="0"/>
    <n v="0.05"/>
    <n v="6953.6"/>
    <n v="1.82"/>
    <n v="18071"/>
    <n v="55048"/>
    <n v="2"/>
    <s v="Health"/>
    <d v="2022-01-07T00:00:00"/>
    <s v="Vigor Valley"/>
    <x v="1"/>
    <n v="7648.96"/>
    <n v="695.36"/>
    <n v="0.38"/>
  </r>
  <r>
    <s v="Women 18-24"/>
    <s v="Increase Sales"/>
    <s v="15 Days"/>
    <x v="1"/>
    <n v="7.0000000000000007E-2"/>
    <n v="1851.04"/>
    <n v="5.23"/>
    <n v="4550"/>
    <n v="14997"/>
    <n v="2"/>
    <s v="Fashion"/>
    <d v="2022-05-19T00:00:00"/>
    <s v="Chic Couture"/>
    <x v="4"/>
    <n v="2036.144"/>
    <n v="185.10400000000001"/>
    <n v="0.41"/>
  </r>
  <r>
    <s v="Men 35-44"/>
    <s v="Product Launch"/>
    <s v="15 Days"/>
    <x v="3"/>
    <n v="0.08"/>
    <n v="3296.33"/>
    <n v="7.1"/>
    <n v="8149"/>
    <n v="25657"/>
    <n v="4"/>
    <s v="Technology"/>
    <d v="2022-01-21T00:00:00"/>
    <s v="Silicon Saga"/>
    <x v="1"/>
    <n v="3625.9630000000002"/>
    <n v="329.63299999999998"/>
    <n v="0.4"/>
  </r>
  <r>
    <s v="Men 35-44"/>
    <s v="Product Launch"/>
    <s v="30 Days"/>
    <x v="1"/>
    <n v="0.12"/>
    <n v="6641.43"/>
    <n v="5.44"/>
    <n v="17218"/>
    <n v="52521"/>
    <n v="7"/>
    <s v="Health"/>
    <d v="2022-09-30T00:00:00"/>
    <s v="Balance Beam"/>
    <x v="8"/>
    <n v="7305.5730000000003"/>
    <n v="664.14300000000003"/>
    <n v="0.39"/>
  </r>
  <r>
    <s v="Women 35-44"/>
    <s v="Product Launch"/>
    <s v="30 Days"/>
    <x v="1"/>
    <n v="0.06"/>
    <n v="7739.13"/>
    <n v="0.76"/>
    <n v="20202"/>
    <n v="61358"/>
    <n v="5"/>
    <s v="Home"/>
    <d v="2022-01-24T00:00:00"/>
    <s v="Nest Neat"/>
    <x v="1"/>
    <n v="8513.0429999999997"/>
    <n v="773.91300000000103"/>
    <n v="0.38"/>
  </r>
  <r>
    <s v="Men 25-34"/>
    <s v="Market Expansion"/>
    <s v="15 Days"/>
    <x v="3"/>
    <n v="0.14000000000000001"/>
    <n v="1671.35"/>
    <n v="1.92"/>
    <n v="4161"/>
    <n v="13845"/>
    <n v="7"/>
    <s v="Health"/>
    <d v="2022-06-01T00:00:00"/>
    <s v="Aura Align"/>
    <x v="9"/>
    <n v="1838.4849999999999"/>
    <n v="167.13499999999999"/>
    <n v="0.4"/>
  </r>
  <r>
    <s v="Women 45-60"/>
    <s v="Product Launch"/>
    <s v="60 Days"/>
    <x v="2"/>
    <n v="0.1"/>
    <n v="13831.03"/>
    <n v="0.47725519399916799"/>
    <n v="21327"/>
    <n v="70426"/>
    <n v="1"/>
    <s v="Health"/>
    <d v="2022-11-14T00:00:00"/>
    <s v="Well Wish"/>
    <x v="3"/>
    <n v="15214.133"/>
    <n v="1383.1030000000001"/>
    <n v="0.65"/>
  </r>
  <r>
    <s v="Men 45-60"/>
    <s v="Increase Sales"/>
    <s v="30 Days"/>
    <x v="2"/>
    <n v="0.08"/>
    <n v="6032.62"/>
    <n v="1.16364468649235"/>
    <n v="9157"/>
    <n v="30797"/>
    <n v="1"/>
    <s v="Food"/>
    <d v="2022-09-27T00:00:00"/>
    <s v="Dine Divine"/>
    <x v="8"/>
    <n v="6635.8819999999996"/>
    <n v="603.26199999999994"/>
    <n v="0.66"/>
  </r>
  <r>
    <s v="All Ages"/>
    <s v="Brand Awareness"/>
    <s v="45 Days"/>
    <x v="2"/>
    <n v="7.0000000000000007E-2"/>
    <n v="9724.7999999999993"/>
    <n v="0.31638265669607801"/>
    <n v="15039"/>
    <n v="49953"/>
    <n v="1"/>
    <s v="Health"/>
    <d v="2022-05-02T00:00:00"/>
    <s v="Balance Beam"/>
    <x v="4"/>
    <n v="10697.28"/>
    <n v="972.48000000000104"/>
    <n v="0.65"/>
  </r>
  <r>
    <s v="Women 35-44"/>
    <s v="Market Expansion"/>
    <s v="45 Days"/>
    <x v="1"/>
    <n v="0.06"/>
    <n v="11134.04"/>
    <n v="3.37"/>
    <n v="29442"/>
    <n v="88727"/>
    <n v="10"/>
    <s v="Food"/>
    <d v="2022-06-28T00:00:00"/>
    <s v="Gourmet Grove"/>
    <x v="9"/>
    <n v="12247.444"/>
    <n v="1113.404"/>
    <n v="0.38"/>
  </r>
  <r>
    <s v="Women 45-60"/>
    <s v="Increase Sales"/>
    <s v="15 Days"/>
    <x v="0"/>
    <n v="0.04"/>
    <n v="3743.38"/>
    <n v="0.84"/>
    <n v="9343"/>
    <n v="29194"/>
    <n v="5"/>
    <s v="Food"/>
    <d v="2022-05-27T00:00:00"/>
    <s v="Savor Street"/>
    <x v="4"/>
    <n v="4117.7179999999998"/>
    <n v="374.33800000000002"/>
    <n v="0.4"/>
  </r>
  <r>
    <s v="Women 25-34"/>
    <s v="Brand Awareness"/>
    <s v="30 Days"/>
    <x v="2"/>
    <n v="0.11"/>
    <n v="4553.08"/>
    <n v="0.90624862680741003"/>
    <n v="6785"/>
    <n v="23077"/>
    <n v="1"/>
    <s v="Health"/>
    <d v="2022-03-20T00:00:00"/>
    <s v="Fitness Front"/>
    <x v="11"/>
    <n v="5008.3879999999999"/>
    <n v="455.30799999999999"/>
    <n v="0.67"/>
  </r>
  <r>
    <s v="Men 35-44"/>
    <s v="Product Launch"/>
    <s v="60 Days"/>
    <x v="1"/>
    <n v="0.08"/>
    <n v="12833.42"/>
    <n v="0.97"/>
    <n v="33959"/>
    <n v="102107"/>
    <n v="10"/>
    <s v="Home"/>
    <d v="2022-10-31T00:00:00"/>
    <s v="Furnish Fine"/>
    <x v="5"/>
    <n v="14116.762000000001"/>
    <n v="1283.3420000000001"/>
    <n v="0.38"/>
  </r>
  <r>
    <s v="Men 18-24"/>
    <s v="Market Expansion"/>
    <s v="30 Days"/>
    <x v="1"/>
    <n v="0.13"/>
    <n v="7341.46"/>
    <n v="2.0499999999999998"/>
    <n v="19114"/>
    <n v="58137"/>
    <n v="9"/>
    <s v="Home"/>
    <d v="2022-03-01T00:00:00"/>
    <s v="Domestic Dream"/>
    <x v="11"/>
    <n v="8075.6059999999998"/>
    <n v="734.14599999999996"/>
    <n v="0.38"/>
  </r>
  <r>
    <s v="Women 25-34"/>
    <s v="Brand Awareness"/>
    <s v="45 Days"/>
    <x v="2"/>
    <n v="0.02"/>
    <n v="7841.99"/>
    <n v="1.15828226858225"/>
    <n v="12029"/>
    <n v="40148"/>
    <n v="1"/>
    <s v="Health"/>
    <d v="2022-04-16T00:00:00"/>
    <s v="Wellness Waves"/>
    <x v="10"/>
    <n v="8626.1890000000003"/>
    <n v="784.19899999999996"/>
    <n v="0.65"/>
  </r>
  <r>
    <s v="Men 35-44"/>
    <s v="Brand Awareness"/>
    <s v="30 Days"/>
    <x v="1"/>
    <n v="0.13"/>
    <n v="6543.07"/>
    <n v="7.34"/>
    <n v="16960"/>
    <n v="51755"/>
    <n v="4"/>
    <s v="Fashion"/>
    <d v="2022-10-24T00:00:00"/>
    <s v="Trend Tailors"/>
    <x v="5"/>
    <n v="7197.3770000000004"/>
    <n v="654.30700000000002"/>
    <n v="0.39"/>
  </r>
  <r>
    <s v="Men 25-34"/>
    <s v="Brand Awareness"/>
    <s v="60 Days"/>
    <x v="0"/>
    <n v="0.11"/>
    <n v="13927.37"/>
    <n v="5.16"/>
    <n v="36517"/>
    <n v="109685"/>
    <n v="10"/>
    <s v="Health"/>
    <d v="2022-11-22T00:00:00"/>
    <s v="Elixir Essence"/>
    <x v="3"/>
    <n v="15320.107"/>
    <n v="1392.7370000000001"/>
    <n v="0.38"/>
  </r>
  <r>
    <s v="Men 45-60"/>
    <s v="Brand Awareness"/>
    <s v="45 Days"/>
    <x v="1"/>
    <n v="0.04"/>
    <n v="10266.209999999999"/>
    <n v="2.46"/>
    <n v="27077"/>
    <n v="81722"/>
    <n v="4"/>
    <s v="Food"/>
    <d v="2022-06-13T00:00:00"/>
    <s v="Epicurean Edge"/>
    <x v="9"/>
    <n v="11292.831"/>
    <n v="1026.6210000000001"/>
    <n v="0.38"/>
  </r>
  <r>
    <s v="Men 45-60"/>
    <s v="Increase Sales"/>
    <s v="30 Days"/>
    <x v="0"/>
    <n v="0.1"/>
    <n v="5302.23"/>
    <n v="1.18"/>
    <n v="13602"/>
    <n v="41809"/>
    <n v="3"/>
    <s v="Fashion"/>
    <d v="2022-02-19T00:00:00"/>
    <s v="Silk &amp; Style"/>
    <x v="6"/>
    <n v="5832.4530000000004"/>
    <n v="530.22299999999996"/>
    <n v="0.39"/>
  </r>
  <r>
    <s v="Women 18-24"/>
    <s v="Market Expansion"/>
    <s v="15 Days"/>
    <x v="2"/>
    <n v="0.12"/>
    <n v="1501.79"/>
    <n v="0.66315234821607305"/>
    <n v="2237"/>
    <n v="8266"/>
    <n v="1"/>
    <s v="Health"/>
    <d v="2022-04-15T00:00:00"/>
    <s v="Well Wish"/>
    <x v="10"/>
    <n v="1651.9690000000001"/>
    <n v="150.179"/>
    <n v="0.67"/>
  </r>
  <r>
    <s v="Women 45-60"/>
    <s v="Increase Sales"/>
    <s v="15 Days"/>
    <x v="3"/>
    <n v="7.0000000000000007E-2"/>
    <n v="500"/>
    <n v="7.25"/>
    <n v="1501"/>
    <n v="5965"/>
    <n v="10"/>
    <s v="Fashion"/>
    <d v="2022-04-20T00:00:00"/>
    <s v="Chic Couture"/>
    <x v="10"/>
    <n v="550"/>
    <n v="50"/>
    <n v="0.33"/>
  </r>
  <r>
    <s v="Men 18-24"/>
    <s v="Brand Awareness"/>
    <s v="30 Days"/>
    <x v="0"/>
    <n v="0.1"/>
    <n v="4559.79"/>
    <n v="0.92"/>
    <n v="11572"/>
    <n v="35797"/>
    <n v="10"/>
    <s v="Fashion"/>
    <d v="2022-03-17T00:00:00"/>
    <s v="Vogue Visions"/>
    <x v="11"/>
    <n v="5015.7690000000002"/>
    <n v="455.97899999999998"/>
    <n v="0.39"/>
  </r>
  <r>
    <s v="Women 18-24"/>
    <s v="Product Launch"/>
    <s v="30 Days"/>
    <x v="1"/>
    <n v="0.09"/>
    <n v="4558.6400000000003"/>
    <n v="5.13"/>
    <n v="11569"/>
    <n v="35787"/>
    <n v="8"/>
    <s v="Home"/>
    <d v="2022-07-15T00:00:00"/>
    <s v="Cozy Corners"/>
    <x v="0"/>
    <n v="5014.5039999999999"/>
    <n v="455.86399999999998"/>
    <n v="0.39"/>
  </r>
  <r>
    <s v="Women 35-44"/>
    <s v="Product Launch"/>
    <s v="45 Days"/>
    <x v="1"/>
    <n v="0.01"/>
    <n v="7813.24"/>
    <n v="1.42"/>
    <n v="20405"/>
    <n v="61959"/>
    <n v="1"/>
    <s v="Technology"/>
    <d v="2022-01-29T00:00:00"/>
    <s v="Pixel Pioneers"/>
    <x v="1"/>
    <n v="8594.5640000000003"/>
    <n v="781.32399999999996"/>
    <n v="0.38"/>
  </r>
  <r>
    <s v="All Ages"/>
    <s v="Market Expansion"/>
    <s v="60 Days"/>
    <x v="1"/>
    <n v="0.11"/>
    <n v="15000"/>
    <n v="5.98"/>
    <n v="39220"/>
    <n v="117691"/>
    <n v="8"/>
    <s v="Home"/>
    <d v="2022-11-01T00:00:00"/>
    <s v="Dwell Delight"/>
    <x v="3"/>
    <n v="16500"/>
    <n v="1500"/>
    <n v="0.38"/>
  </r>
  <r>
    <s v="Men 45-60"/>
    <s v="Increase Sales"/>
    <s v="30 Days"/>
    <x v="3"/>
    <n v="0.14000000000000001"/>
    <n v="4781.76"/>
    <n v="2.68"/>
    <n v="12178"/>
    <n v="37590"/>
    <n v="3"/>
    <s v="Technology"/>
    <d v="2022-09-24T00:00:00"/>
    <s v="Pixel Pioneers"/>
    <x v="8"/>
    <n v="5259.9359999999997"/>
    <n v="478.17599999999999"/>
    <n v="0.39"/>
  </r>
  <r>
    <s v="Men 35-44"/>
    <s v="Product Launch"/>
    <s v="30 Days"/>
    <x v="3"/>
    <n v="0.04"/>
    <n v="5324.62"/>
    <n v="7"/>
    <n v="13657"/>
    <n v="41973"/>
    <n v="7"/>
    <s v="Fashion"/>
    <d v="2022-11-25T00:00:00"/>
    <s v="Silk &amp; Style"/>
    <x v="3"/>
    <n v="5857.0820000000003"/>
    <n v="532.46199999999999"/>
    <n v="0.39"/>
  </r>
  <r>
    <s v="Men 35-44"/>
    <s v="Brand Awareness"/>
    <s v="15 Days"/>
    <x v="3"/>
    <n v="0.15"/>
    <n v="723.65"/>
    <n v="5.17"/>
    <n v="2401"/>
    <n v="8632"/>
    <n v="5"/>
    <s v="Technology"/>
    <d v="2022-11-30T00:00:00"/>
    <s v="NexGen Nerds"/>
    <x v="3"/>
    <n v="796.01499999999999"/>
    <n v="72.364999999999995"/>
    <n v="0.3"/>
  </r>
  <r>
    <s v="Women 18-24"/>
    <s v="Increase Sales"/>
    <s v="45 Days"/>
    <x v="3"/>
    <n v="0.12"/>
    <n v="8343.74"/>
    <n v="7.9"/>
    <n v="21859"/>
    <n v="66266"/>
    <n v="10"/>
    <s v="Technology"/>
    <d v="2022-12-30T00:00:00"/>
    <s v="Quantum Quirks"/>
    <x v="7"/>
    <n v="9178.1139999999996"/>
    <n v="834.37400000000105"/>
    <n v="0.38"/>
  </r>
  <r>
    <s v="All Ages"/>
    <s v="Brand Awareness"/>
    <s v="45 Days"/>
    <x v="3"/>
    <n v="0.04"/>
    <n v="8410.5300000000007"/>
    <n v="3.03"/>
    <n v="22044"/>
    <n v="66816"/>
    <n v="3"/>
    <s v="Food"/>
    <d v="2022-02-18T00:00:00"/>
    <s v="Savor Street"/>
    <x v="6"/>
    <n v="9251.5830000000005"/>
    <n v="841.05300000000102"/>
    <n v="0.38"/>
  </r>
  <r>
    <s v="Women 45-60"/>
    <s v="Brand Awareness"/>
    <s v="15 Days"/>
    <x v="2"/>
    <n v="0.03"/>
    <n v="2838.42"/>
    <n v="4.1111870644123097E-2"/>
    <n v="4084"/>
    <n v="14280"/>
    <n v="1"/>
    <s v="Fashion"/>
    <d v="2022-10-13T00:00:00"/>
    <s v="Style Sphere"/>
    <x v="5"/>
    <n v="3122.2620000000002"/>
    <n v="283.84199999999998"/>
    <n v="0.7"/>
  </r>
  <r>
    <s v="Women 18-24"/>
    <s v="Brand Awareness"/>
    <s v="30 Days"/>
    <x v="3"/>
    <n v="0.03"/>
    <n v="4393.6899999999996"/>
    <n v="4.16"/>
    <n v="11118"/>
    <n v="34451"/>
    <n v="4"/>
    <s v="Food"/>
    <d v="2022-12-14T00:00:00"/>
    <s v="Gourmet Grove"/>
    <x v="7"/>
    <n v="4833.0590000000002"/>
    <n v="439.36900000000003"/>
    <n v="0.4"/>
  </r>
  <r>
    <s v="Women 45-60"/>
    <s v="Product Launch"/>
    <s v="60 Days"/>
    <x v="3"/>
    <n v="0.11"/>
    <n v="13957.09"/>
    <n v="2.2999999999999998"/>
    <n v="36578"/>
    <n v="109866"/>
    <n v="9"/>
    <s v="Food"/>
    <d v="2022-01-21T00:00:00"/>
    <s v="Savor Street"/>
    <x v="1"/>
    <n v="15352.799000000001"/>
    <n v="1395.7090000000001"/>
    <n v="0.38"/>
  </r>
  <r>
    <s v="All Ages"/>
    <s v="Market Expansion"/>
    <s v="15 Days"/>
    <x v="3"/>
    <n v="0.05"/>
    <n v="3632.18"/>
    <n v="1.74"/>
    <n v="9042"/>
    <n v="28301"/>
    <n v="9"/>
    <s v="Food"/>
    <d v="2022-12-19T00:00:00"/>
    <s v="Culinary Quest"/>
    <x v="7"/>
    <n v="3995.3980000000001"/>
    <n v="363.21800000000002"/>
    <n v="0.4"/>
  </r>
  <r>
    <s v="Men 25-34"/>
    <s v="Product Launch"/>
    <s v="45 Days"/>
    <x v="0"/>
    <n v="0.12"/>
    <n v="8079.21"/>
    <n v="5.82"/>
    <n v="21131"/>
    <n v="64111"/>
    <n v="10"/>
    <s v="Fashion"/>
    <d v="2022-06-23T00:00:00"/>
    <s v="Fiber Fashion"/>
    <x v="9"/>
    <n v="8887.1309999999994"/>
    <n v="807.92100000000096"/>
    <n v="0.38"/>
  </r>
  <r>
    <s v="Men 35-44"/>
    <s v="Brand Awareness"/>
    <s v="60 Days"/>
    <x v="2"/>
    <n v="0.09"/>
    <n v="15000"/>
    <n v="0.76503828850803002"/>
    <n v="23183"/>
    <n v="76467"/>
    <n v="1"/>
    <s v="Health"/>
    <d v="2022-11-02T00:00:00"/>
    <s v="Vigor Valley"/>
    <x v="3"/>
    <n v="16500"/>
    <n v="1500"/>
    <n v="0.65"/>
  </r>
  <r>
    <s v="Men 18-24"/>
    <s v="Market Expansion"/>
    <s v="45 Days"/>
    <x v="3"/>
    <n v="0.02"/>
    <n v="9788.2099999999991"/>
    <n v="4.5599999999999996"/>
    <n v="25784"/>
    <n v="77894"/>
    <n v="8"/>
    <s v="Technology"/>
    <d v="2022-10-26T00:00:00"/>
    <s v="Tech Titans"/>
    <x v="5"/>
    <n v="10767.030999999901"/>
    <n v="978.820999999999"/>
    <n v="0.38"/>
  </r>
  <r>
    <s v="Men 25-34"/>
    <s v="Market Expansion"/>
    <s v="30 Days"/>
    <x v="1"/>
    <n v="0.11"/>
    <n v="6237.82"/>
    <n v="6.16"/>
    <n v="16137"/>
    <n v="49318"/>
    <n v="10"/>
    <s v="Fashion"/>
    <d v="2022-04-04T00:00:00"/>
    <s v="Silk &amp; Style"/>
    <x v="10"/>
    <n v="6861.6019999999999"/>
    <n v="623.78200000000004"/>
    <n v="0.39"/>
  </r>
  <r>
    <s v="Women 25-34"/>
    <s v="Product Launch"/>
    <s v="30 Days"/>
    <x v="0"/>
    <n v="7.0000000000000007E-2"/>
    <n v="5075.03"/>
    <n v="7.27"/>
    <n v="12975"/>
    <n v="39951"/>
    <n v="3"/>
    <s v="Technology"/>
    <d v="2022-07-05T00:00:00"/>
    <s v="Gadget Giants"/>
    <x v="0"/>
    <n v="5582.5330000000004"/>
    <n v="507.50299999999999"/>
    <n v="0.39"/>
  </r>
  <r>
    <s v="Men 25-34"/>
    <s v="Brand Awareness"/>
    <s v="60 Days"/>
    <x v="1"/>
    <n v="0.05"/>
    <n v="12716.23"/>
    <n v="3.06"/>
    <n v="33649"/>
    <n v="101188"/>
    <n v="6"/>
    <s v="Food"/>
    <d v="2022-02-28T00:00:00"/>
    <s v="Dine Divine"/>
    <x v="6"/>
    <n v="13987.852999999999"/>
    <n v="1271.623"/>
    <n v="0.38"/>
  </r>
  <r>
    <s v="Women 18-24"/>
    <s v="Brand Awareness"/>
    <s v="15 Days"/>
    <x v="2"/>
    <n v="0.06"/>
    <n v="3409.08"/>
    <n v="1.4121033829937899"/>
    <n v="4962"/>
    <n v="17140"/>
    <n v="1"/>
    <s v="Technology"/>
    <d v="2022-04-22T00:00:00"/>
    <s v="Pixel Pioneers"/>
    <x v="10"/>
    <n v="3749.9879999999998"/>
    <n v="340.90800000000002"/>
    <n v="0.69"/>
  </r>
  <r>
    <s v="Men 45-60"/>
    <s v="Increase Sales"/>
    <s v="60 Days"/>
    <x v="0"/>
    <n v="0.09"/>
    <n v="14646.49"/>
    <n v="2.2799999999999998"/>
    <n v="37885"/>
    <n v="113736"/>
    <n v="8"/>
    <s v="Fashion"/>
    <d v="2022-04-06T00:00:00"/>
    <s v="Fiber Fashion"/>
    <x v="10"/>
    <n v="16111.138999999999"/>
    <n v="1464.6489999999999"/>
    <n v="0.39"/>
  </r>
  <r>
    <s v="Women 25-34"/>
    <s v="Brand Awareness"/>
    <s v="45 Days"/>
    <x v="2"/>
    <n v="0.14000000000000001"/>
    <n v="9984.16"/>
    <n v="1.0206468755562701"/>
    <n v="15450"/>
    <n v="51288"/>
    <n v="1"/>
    <s v="Food"/>
    <d v="2022-10-08T00:00:00"/>
    <s v="Palate Paradise"/>
    <x v="5"/>
    <n v="10982.575999999999"/>
    <n v="998.41600000000096"/>
    <n v="0.65"/>
  </r>
  <r>
    <s v="Women 18-24"/>
    <s v="Market Expansion"/>
    <s v="30 Days"/>
    <x v="0"/>
    <n v="0.03"/>
    <n v="5942.73"/>
    <n v="5.41"/>
    <n v="15349"/>
    <n v="46983"/>
    <n v="6"/>
    <s v="Home"/>
    <d v="2022-08-29T00:00:00"/>
    <s v="Hearth Harmony"/>
    <x v="2"/>
    <n v="6537.0029999999997"/>
    <n v="594.27300000000002"/>
    <n v="0.39"/>
  </r>
  <r>
    <s v="Women 18-24"/>
    <s v="Market Expansion"/>
    <s v="30 Days"/>
    <x v="3"/>
    <n v="0.11"/>
    <n v="4205.1899999999996"/>
    <n v="0.65"/>
    <n v="10602"/>
    <n v="32923"/>
    <n v="8"/>
    <s v="Fashion"/>
    <d v="2022-02-20T00:00:00"/>
    <s v="Trend Tailors"/>
    <x v="6"/>
    <n v="4625.7089999999998"/>
    <n v="420.51900000000001"/>
    <n v="0.4"/>
  </r>
  <r>
    <s v="Men 25-34"/>
    <s v="Brand Awareness"/>
    <s v="15 Days"/>
    <x v="1"/>
    <n v="0.03"/>
    <n v="1252.6500000000001"/>
    <n v="7.05"/>
    <n v="3322"/>
    <n v="11359"/>
    <n v="9"/>
    <s v="Health"/>
    <d v="2022-01-08T00:00:00"/>
    <s v="Vigor Valley"/>
    <x v="1"/>
    <n v="1377.915"/>
    <n v="125.265"/>
    <n v="0.38"/>
  </r>
  <r>
    <s v="Men 45-60"/>
    <s v="Increase Sales"/>
    <s v="15 Days"/>
    <x v="1"/>
    <n v="7.0000000000000007E-2"/>
    <n v="967.85"/>
    <n v="6.18"/>
    <n v="2799"/>
    <n v="9812"/>
    <n v="9"/>
    <s v="Food"/>
    <d v="2022-02-07T00:00:00"/>
    <s v="Nosh Nirvana"/>
    <x v="6"/>
    <n v="1064.635"/>
    <n v="96.785000000000196"/>
    <n v="0.35"/>
  </r>
  <r>
    <s v="Women 35-44"/>
    <s v="Brand Awareness"/>
    <s v="60 Days"/>
    <x v="3"/>
    <n v="0.09"/>
    <n v="11417.09"/>
    <n v="4.84"/>
    <n v="30213"/>
    <n v="91012"/>
    <n v="10"/>
    <s v="Home"/>
    <d v="2022-05-02T00:00:00"/>
    <s v="Space Spruce"/>
    <x v="4"/>
    <n v="12558.799000000001"/>
    <n v="1141.7090000000001"/>
    <n v="0.38"/>
  </r>
  <r>
    <s v="Men 45-60"/>
    <s v="Market Expansion"/>
    <s v="30 Days"/>
    <x v="2"/>
    <n v="0.05"/>
    <n v="4351.3100000000004"/>
    <n v="1.33881700488905"/>
    <n v="6461"/>
    <n v="22020"/>
    <n v="1"/>
    <s v="Fashion"/>
    <d v="2022-12-20T00:00:00"/>
    <s v="Attire Artistry"/>
    <x v="7"/>
    <n v="4786.4409999999998"/>
    <n v="435.13099999999997"/>
    <n v="0.67"/>
  </r>
  <r>
    <s v="All Ages"/>
    <s v="Product Launch"/>
    <s v="60 Days"/>
    <x v="2"/>
    <n v="0.15"/>
    <n v="13015.42"/>
    <n v="0.80615015915215305"/>
    <n v="20214"/>
    <n v="66800"/>
    <n v="1"/>
    <s v="Food"/>
    <d v="2022-12-13T00:00:00"/>
    <s v="Bistro Bliss"/>
    <x v="7"/>
    <n v="14316.962"/>
    <n v="1301.5419999999999"/>
    <n v="0.64"/>
  </r>
  <r>
    <s v="Men 45-60"/>
    <s v="Product Launch"/>
    <s v="60 Days"/>
    <x v="2"/>
    <n v="0.05"/>
    <n v="13752.83"/>
    <n v="0.46116794026885899"/>
    <n v="21228"/>
    <n v="70104"/>
    <n v="1"/>
    <s v="Home"/>
    <d v="2022-10-24T00:00:00"/>
    <s v="Cozy Corners"/>
    <x v="5"/>
    <n v="15128.112999999999"/>
    <n v="1375.2829999999999"/>
    <n v="0.65"/>
  </r>
  <r>
    <s v="Men 45-60"/>
    <s v="Increase Sales"/>
    <s v="45 Days"/>
    <x v="3"/>
    <n v="0.12"/>
    <n v="7940.22"/>
    <n v="6.51"/>
    <n v="20750"/>
    <n v="62982"/>
    <n v="3"/>
    <s v="Technology"/>
    <d v="2022-06-09T00:00:00"/>
    <s v="Silicon Saga"/>
    <x v="9"/>
    <n v="8734.2420000000002"/>
    <n v="794.02199999999903"/>
    <n v="0.38"/>
  </r>
  <r>
    <s v="Women 45-60"/>
    <s v="Product Launch"/>
    <s v="30 Days"/>
    <x v="2"/>
    <n v="0.13"/>
    <n v="4955.7700000000004"/>
    <n v="0.52372948255339402"/>
    <n v="7428"/>
    <n v="25169"/>
    <n v="1"/>
    <s v="Technology"/>
    <d v="2022-11-24T00:00:00"/>
    <s v="Code Crafters"/>
    <x v="3"/>
    <n v="5451.3469999999998"/>
    <n v="495.577"/>
    <n v="0.67"/>
  </r>
  <r>
    <s v="Women 35-44"/>
    <s v="Product Launch"/>
    <s v="45 Days"/>
    <x v="0"/>
    <n v="0.05"/>
    <n v="10531.85"/>
    <n v="1.97"/>
    <n v="27798"/>
    <n v="83858"/>
    <n v="4"/>
    <s v="Technology"/>
    <d v="2022-05-03T00:00:00"/>
    <s v="NexGen Nerds"/>
    <x v="4"/>
    <n v="11585.035"/>
    <n v="1053.1849999999999"/>
    <n v="0.38"/>
  </r>
  <r>
    <s v="Men 45-60"/>
    <s v="Market Expansion"/>
    <s v="60 Days"/>
    <x v="0"/>
    <n v="0.15"/>
    <n v="12323.18"/>
    <n v="5.68"/>
    <n v="32620"/>
    <n v="98142"/>
    <n v="10"/>
    <s v="Fashion"/>
    <d v="2022-04-18T00:00:00"/>
    <s v="Fiber Fashion"/>
    <x v="10"/>
    <n v="13555.498"/>
    <n v="1232.318"/>
    <n v="0.38"/>
  </r>
  <r>
    <s v="Men 45-60"/>
    <s v="Brand Awareness"/>
    <s v="60 Days"/>
    <x v="2"/>
    <n v="0.01"/>
    <n v="15000"/>
    <n v="1.2512308456907"/>
    <n v="22636"/>
    <n v="74689"/>
    <n v="1"/>
    <s v="Home"/>
    <d v="2022-08-27T00:00:00"/>
    <s v="Furnish Fine"/>
    <x v="2"/>
    <n v="16500"/>
    <n v="1500"/>
    <n v="0.66"/>
  </r>
  <r>
    <s v="Men 18-24"/>
    <s v="Increase Sales"/>
    <s v="45 Days"/>
    <x v="3"/>
    <n v="0.11"/>
    <n v="9532.08"/>
    <n v="0.34"/>
    <n v="25069"/>
    <n v="75774"/>
    <n v="2"/>
    <s v="Health"/>
    <d v="2022-01-28T00:00:00"/>
    <s v="Elixir Essence"/>
    <x v="1"/>
    <n v="10485.288"/>
    <n v="953.20799999999997"/>
    <n v="0.38"/>
  </r>
  <r>
    <s v="Women 35-44"/>
    <s v="Increase Sales"/>
    <s v="15 Days"/>
    <x v="0"/>
    <n v="0.08"/>
    <n v="2786.77"/>
    <n v="6.29"/>
    <n v="6820"/>
    <n v="21722"/>
    <n v="6"/>
    <s v="Home"/>
    <d v="2022-11-15T00:00:00"/>
    <s v="Decor Dreams"/>
    <x v="3"/>
    <n v="3065.4470000000001"/>
    <n v="278.67700000000002"/>
    <n v="0.41"/>
  </r>
  <r>
    <s v="Women 25-34"/>
    <s v="Brand Awareness"/>
    <s v="45 Days"/>
    <x v="3"/>
    <n v="0.14000000000000001"/>
    <n v="10782.95"/>
    <n v="2.29"/>
    <n v="28481"/>
    <n v="85883"/>
    <n v="7"/>
    <s v="Fashion"/>
    <d v="2022-05-02T00:00:00"/>
    <s v="Runway Rebels"/>
    <x v="4"/>
    <n v="11861.245000000001"/>
    <n v="1078.2950000000001"/>
    <n v="0.38"/>
  </r>
  <r>
    <s v="Women 25-34"/>
    <s v="Product Launch"/>
    <s v="60 Days"/>
    <x v="0"/>
    <n v="7.0000000000000007E-2"/>
    <n v="15000"/>
    <n v="0.7"/>
    <n v="39220"/>
    <n v="117689"/>
    <n v="6"/>
    <s v="Health"/>
    <d v="2022-04-20T00:00:00"/>
    <s v="Well Wish"/>
    <x v="10"/>
    <n v="16500"/>
    <n v="1500"/>
    <n v="0.38"/>
  </r>
  <r>
    <s v="Men 18-24"/>
    <s v="Increase Sales"/>
    <s v="30 Days"/>
    <x v="0"/>
    <n v="0.13"/>
    <n v="6862.64"/>
    <n v="5.03"/>
    <n v="17824"/>
    <n v="54314"/>
    <n v="3"/>
    <s v="Health"/>
    <d v="2022-11-21T00:00:00"/>
    <s v="Balance Beam"/>
    <x v="3"/>
    <n v="7548.9040000000005"/>
    <n v="686.26400000000103"/>
    <n v="0.39"/>
  </r>
  <r>
    <s v="Women 18-24"/>
    <s v="Product Launch"/>
    <s v="45 Days"/>
    <x v="2"/>
    <n v="0.13"/>
    <n v="10277.879999999999"/>
    <n v="1.2816178805146199"/>
    <n v="15918"/>
    <n v="52814"/>
    <n v="1"/>
    <s v="Technology"/>
    <d v="2022-05-28T00:00:00"/>
    <s v="Code Crafters"/>
    <x v="4"/>
    <n v="11305.668"/>
    <n v="1027.788"/>
    <n v="0.65"/>
  </r>
  <r>
    <s v="All Ages"/>
    <s v="Increase Sales"/>
    <s v="60 Days"/>
    <x v="2"/>
    <n v="0.09"/>
    <n v="12083.88"/>
    <n v="0.33068243778968598"/>
    <n v="18788"/>
    <n v="62157"/>
    <n v="1"/>
    <s v="Health"/>
    <d v="2022-05-28T00:00:00"/>
    <s v="Heal Hub"/>
    <x v="4"/>
    <n v="13292.268"/>
    <n v="1208.3879999999999"/>
    <n v="0.64"/>
  </r>
  <r>
    <s v="Women 35-44"/>
    <s v="Brand Awareness"/>
    <s v="30 Days"/>
    <x v="0"/>
    <n v="0.03"/>
    <n v="4972.13"/>
    <n v="3.02"/>
    <n v="12693"/>
    <n v="39118"/>
    <n v="1"/>
    <s v="Technology"/>
    <d v="2022-02-17T00:00:00"/>
    <s v="Code Crafters"/>
    <x v="6"/>
    <n v="5469.3429999999998"/>
    <n v="497.21300000000002"/>
    <n v="0.39"/>
  </r>
  <r>
    <s v="All Ages"/>
    <s v="Increase Sales"/>
    <s v="60 Days"/>
    <x v="2"/>
    <n v="0.03"/>
    <n v="13608.15"/>
    <n v="0.65600245766926901"/>
    <n v="21045"/>
    <n v="69508"/>
    <n v="1"/>
    <s v="Technology"/>
    <d v="2022-02-20T00:00:00"/>
    <s v="Giga Geeks"/>
    <x v="6"/>
    <n v="14968.965"/>
    <n v="1360.8150000000001"/>
    <n v="0.65"/>
  </r>
  <r>
    <s v="All Ages"/>
    <s v="Brand Awareness"/>
    <s v="60 Days"/>
    <x v="3"/>
    <n v="0.12"/>
    <n v="13096.7"/>
    <n v="4.3"/>
    <n v="34616"/>
    <n v="104052"/>
    <n v="7"/>
    <s v="Food"/>
    <d v="2022-03-16T00:00:00"/>
    <s v="Savor Street"/>
    <x v="11"/>
    <n v="14406.37"/>
    <n v="1309.67"/>
    <n v="0.38"/>
  </r>
  <r>
    <s v="All Ages"/>
    <s v="Market Expansion"/>
    <s v="60 Days"/>
    <x v="3"/>
    <n v="0.12"/>
    <n v="13437.61"/>
    <n v="1.69"/>
    <n v="35434"/>
    <n v="106478"/>
    <n v="1"/>
    <s v="Technology"/>
    <d v="2022-07-08T00:00:00"/>
    <s v="Cyber Circuit"/>
    <x v="0"/>
    <n v="14781.370999999999"/>
    <n v="1343.761"/>
    <n v="0.38"/>
  </r>
  <r>
    <s v="Women 35-44"/>
    <s v="Product Launch"/>
    <s v="60 Days"/>
    <x v="1"/>
    <n v="0.12"/>
    <n v="11583.71"/>
    <n v="3.3"/>
    <n v="30670"/>
    <n v="92366"/>
    <n v="8"/>
    <s v="Food"/>
    <d v="2022-05-02T00:00:00"/>
    <s v="Culinary Quest"/>
    <x v="4"/>
    <n v="12742.081"/>
    <n v="1158.3710000000001"/>
    <n v="0.38"/>
  </r>
  <r>
    <s v="Women 18-24"/>
    <s v="Brand Awareness"/>
    <s v="60 Days"/>
    <x v="3"/>
    <n v="0.03"/>
    <n v="13213.75"/>
    <n v="5.0999999999999996"/>
    <n v="34904"/>
    <n v="104908"/>
    <n v="9"/>
    <s v="Technology"/>
    <d v="2022-11-26T00:00:00"/>
    <s v="Gadget Giants"/>
    <x v="3"/>
    <n v="14535.125"/>
    <n v="1321.375"/>
    <n v="0.38"/>
  </r>
  <r>
    <s v="Women 45-60"/>
    <s v="Product Launch"/>
    <s v="30 Days"/>
    <x v="3"/>
    <n v="0.13"/>
    <n v="4560.63"/>
    <n v="5.63"/>
    <n v="11575"/>
    <n v="35805"/>
    <n v="4"/>
    <s v="Food"/>
    <d v="2022-11-28T00:00:00"/>
    <s v="Gourmet Grove"/>
    <x v="3"/>
    <n v="5016.6930000000002"/>
    <n v="456.06299999999999"/>
    <n v="0.39"/>
  </r>
  <r>
    <s v="Women 45-60"/>
    <s v="Product Launch"/>
    <s v="15 Days"/>
    <x v="3"/>
    <n v="0.09"/>
    <n v="1876.08"/>
    <n v="0.51"/>
    <n v="4606"/>
    <n v="15163"/>
    <n v="5"/>
    <s v="Health"/>
    <d v="2022-04-21T00:00:00"/>
    <s v="Elixir Essence"/>
    <x v="10"/>
    <n v="2063.6880000000001"/>
    <n v="187.608"/>
    <n v="0.41"/>
  </r>
  <r>
    <s v="Men 35-44"/>
    <s v="Increase Sales"/>
    <s v="30 Days"/>
    <x v="1"/>
    <n v="0.05"/>
    <n v="5677.93"/>
    <n v="4.34"/>
    <n v="14621"/>
    <n v="44829"/>
    <n v="6"/>
    <s v="Technology"/>
    <d v="2022-08-19T00:00:00"/>
    <s v="Innovate Infinity"/>
    <x v="2"/>
    <n v="6245.723"/>
    <n v="567.79300000000001"/>
    <n v="0.39"/>
  </r>
  <r>
    <s v="Men 25-34"/>
    <s v="Market Expansion"/>
    <s v="45 Days"/>
    <x v="0"/>
    <n v="0.01"/>
    <n v="9823.7099999999991"/>
    <n v="5.21"/>
    <n v="25885"/>
    <n v="78191"/>
    <n v="9"/>
    <s v="Technology"/>
    <d v="2022-12-22T00:00:00"/>
    <s v="Code Crafters"/>
    <x v="7"/>
    <n v="10806.081"/>
    <n v="982.371000000001"/>
    <n v="0.38"/>
  </r>
  <r>
    <s v="Men 45-60"/>
    <s v="Increase Sales"/>
    <s v="15 Days"/>
    <x v="1"/>
    <n v="0.08"/>
    <n v="1687.96"/>
    <n v="5.97"/>
    <n v="4197"/>
    <n v="13952"/>
    <n v="10"/>
    <s v="Food"/>
    <d v="2022-07-08T00:00:00"/>
    <s v="Savor Street"/>
    <x v="0"/>
    <n v="1856.7560000000001"/>
    <n v="168.79599999999999"/>
    <n v="0.4"/>
  </r>
  <r>
    <s v="Women 18-24"/>
    <s v="Product Launch"/>
    <s v="30 Days"/>
    <x v="0"/>
    <n v="0.1"/>
    <n v="6239.3"/>
    <n v="1.44"/>
    <n v="16140"/>
    <n v="49327"/>
    <n v="4"/>
    <s v="Health"/>
    <d v="2022-02-27T00:00:00"/>
    <s v="Wellness Waves"/>
    <x v="6"/>
    <n v="6863.23"/>
    <n v="623.92999999999995"/>
    <n v="0.39"/>
  </r>
  <r>
    <s v="Men 45-60"/>
    <s v="Product Launch"/>
    <s v="15 Days"/>
    <x v="3"/>
    <n v="0.12"/>
    <n v="500"/>
    <n v="2.96"/>
    <n v="783"/>
    <n v="3839"/>
    <n v="2"/>
    <s v="Fashion"/>
    <d v="2022-05-29T00:00:00"/>
    <s v="Mode Maven"/>
    <x v="4"/>
    <n v="550"/>
    <n v="50"/>
    <n v="0.64"/>
  </r>
  <r>
    <s v="Women 18-24"/>
    <s v="Increase Sales"/>
    <s v="60 Days"/>
    <x v="2"/>
    <n v="0.05"/>
    <n v="14914.78"/>
    <n v="1.3441794227991499"/>
    <n v="22489"/>
    <n v="74210"/>
    <n v="1"/>
    <s v="Technology"/>
    <d v="2022-08-20T00:00:00"/>
    <s v="Tech Titans"/>
    <x v="2"/>
    <n v="16406.258000000002"/>
    <n v="1491.4780000000001"/>
    <n v="0.66"/>
  </r>
  <r>
    <s v="Women 45-60"/>
    <s v="Product Launch"/>
    <s v="60 Days"/>
    <x v="3"/>
    <n v="0.14000000000000001"/>
    <n v="12584.92"/>
    <n v="1.42"/>
    <n v="33307"/>
    <n v="100176"/>
    <n v="5"/>
    <s v="Health"/>
    <d v="2022-11-17T00:00:00"/>
    <s v="Vigor Valley"/>
    <x v="3"/>
    <n v="13843.412"/>
    <n v="1258.492"/>
    <n v="0.38"/>
  </r>
  <r>
    <s v="Men 18-24"/>
    <s v="Product Launch"/>
    <s v="30 Days"/>
    <x v="2"/>
    <n v="0.14000000000000001"/>
    <n v="7152.18"/>
    <n v="0.57556618901772405"/>
    <n v="10929"/>
    <n v="36569"/>
    <n v="1"/>
    <s v="Food"/>
    <d v="2022-09-09T00:00:00"/>
    <s v="Gourmet Grove"/>
    <x v="8"/>
    <n v="7867.3980000000001"/>
    <n v="715.21799999999996"/>
    <n v="0.65"/>
  </r>
  <r>
    <s v="Men 25-34"/>
    <s v="Market Expansion"/>
    <s v="15 Days"/>
    <x v="2"/>
    <n v="0.13"/>
    <n v="2694.81"/>
    <n v="1.3280921690688401"/>
    <n v="3873"/>
    <n v="13592"/>
    <n v="1"/>
    <s v="Health"/>
    <d v="2022-05-19T00:00:00"/>
    <s v="Heal Hub"/>
    <x v="4"/>
    <n v="2964.2910000000002"/>
    <n v="269.48099999999999"/>
    <n v="0.7"/>
  </r>
  <r>
    <s v="Men 35-44"/>
    <s v="Brand Awareness"/>
    <s v="15 Days"/>
    <x v="0"/>
    <n v="0.08"/>
    <n v="1819.81"/>
    <n v="3.77"/>
    <n v="4480"/>
    <n v="14790"/>
    <n v="4"/>
    <s v="Food"/>
    <d v="2022-10-05T00:00:00"/>
    <s v="Bistro Bliss"/>
    <x v="5"/>
    <n v="2001.7909999999999"/>
    <n v="181.98099999999999"/>
    <n v="0.41"/>
  </r>
  <r>
    <s v="Women 18-24"/>
    <s v="Product Launch"/>
    <s v="45 Days"/>
    <x v="3"/>
    <n v="7.0000000000000007E-2"/>
    <n v="8975.69"/>
    <n v="1.31"/>
    <n v="23560"/>
    <n v="71306"/>
    <n v="4"/>
    <s v="Health"/>
    <d v="2022-06-29T00:00:00"/>
    <s v="Fitness Front"/>
    <x v="9"/>
    <n v="9873.259"/>
    <n v="897.56900000000098"/>
    <n v="0.38"/>
  </r>
  <r>
    <s v="All Ages"/>
    <s v="Market Expansion"/>
    <s v="15 Days"/>
    <x v="2"/>
    <n v="0.01"/>
    <n v="2920.54"/>
    <n v="1.3727789849863701"/>
    <n v="4212"/>
    <n v="14696"/>
    <n v="1"/>
    <s v="Technology"/>
    <d v="2022-09-13T00:00:00"/>
    <s v="Tech Titans"/>
    <x v="8"/>
    <n v="3212.5940000000001"/>
    <n v="292.05399999999997"/>
    <n v="0.69"/>
  </r>
  <r>
    <s v="All Ages"/>
    <s v="Brand Awareness"/>
    <s v="15 Days"/>
    <x v="3"/>
    <n v="0.14000000000000001"/>
    <n v="3957.13"/>
    <n v="5.82"/>
    <n v="9923"/>
    <n v="30912"/>
    <n v="8"/>
    <s v="Food"/>
    <d v="2022-08-09T00:00:00"/>
    <s v="Feast Flavors"/>
    <x v="2"/>
    <n v="4352.8429999999998"/>
    <n v="395.71300000000002"/>
    <n v="0.4"/>
  </r>
  <r>
    <s v="Men 35-44"/>
    <s v="Increase Sales"/>
    <s v="45 Days"/>
    <x v="0"/>
    <n v="0.02"/>
    <n v="11135.25"/>
    <n v="7.95"/>
    <n v="29446"/>
    <n v="88739"/>
    <n v="5"/>
    <s v="Technology"/>
    <d v="2022-12-04T00:00:00"/>
    <s v="Cyber Circuit"/>
    <x v="7"/>
    <n v="12248.775"/>
    <n v="1113.5250000000001"/>
    <n v="0.38"/>
  </r>
  <r>
    <s v="Women 25-34"/>
    <s v="Market Expansion"/>
    <s v="15 Days"/>
    <x v="0"/>
    <n v="0.08"/>
    <n v="2157.4"/>
    <n v="0.04"/>
    <n v="5276"/>
    <n v="17148"/>
    <n v="2"/>
    <s v="Health"/>
    <d v="2022-04-05T00:00:00"/>
    <s v="Wellness Waves"/>
    <x v="10"/>
    <n v="2373.14"/>
    <n v="215.74"/>
    <n v="0.41"/>
  </r>
  <r>
    <s v="Women 18-24"/>
    <s v="Product Launch"/>
    <s v="15 Days"/>
    <x v="1"/>
    <n v="0.06"/>
    <n v="3689.65"/>
    <n v="3.41"/>
    <n v="9196"/>
    <n v="28760"/>
    <n v="2"/>
    <s v="Health"/>
    <d v="2022-04-15T00:00:00"/>
    <s v="Fitness Front"/>
    <x v="10"/>
    <n v="4058.6149999999998"/>
    <n v="368.96499999999997"/>
    <n v="0.4"/>
  </r>
  <r>
    <s v="Women 18-24"/>
    <s v="Market Expansion"/>
    <s v="60 Days"/>
    <x v="0"/>
    <n v="0.13"/>
    <n v="12757.29"/>
    <n v="3.07"/>
    <n v="33760"/>
    <n v="101517"/>
    <n v="10"/>
    <s v="Technology"/>
    <d v="2022-05-07T00:00:00"/>
    <s v="Quantum Quirks"/>
    <x v="4"/>
    <n v="14033.019"/>
    <n v="1275.729"/>
    <n v="0.38"/>
  </r>
  <r>
    <s v="All Ages"/>
    <s v="Brand Awareness"/>
    <s v="15 Days"/>
    <x v="3"/>
    <n v="0.15"/>
    <n v="1479.24"/>
    <n v="3.65"/>
    <n v="3763"/>
    <n v="12665"/>
    <n v="1"/>
    <s v="Home"/>
    <d v="2022-04-30T00:00:00"/>
    <s v="Decor Dreams"/>
    <x v="10"/>
    <n v="1627.164"/>
    <n v="147.92400000000001"/>
    <n v="0.39"/>
  </r>
  <r>
    <s v="Women 45-60"/>
    <s v="Increase Sales"/>
    <s v="60 Days"/>
    <x v="2"/>
    <n v="0.08"/>
    <n v="15000"/>
    <n v="0.98310995018555303"/>
    <n v="23440"/>
    <n v="77307"/>
    <n v="1"/>
    <s v="Health"/>
    <d v="2022-12-06T00:00:00"/>
    <s v="Aura Align"/>
    <x v="7"/>
    <n v="16500"/>
    <n v="1500"/>
    <n v="0.64"/>
  </r>
  <r>
    <s v="Men 18-24"/>
    <s v="Brand Awareness"/>
    <s v="30 Days"/>
    <x v="1"/>
    <n v="0.03"/>
    <n v="5101.7"/>
    <n v="5.16"/>
    <n v="13054"/>
    <n v="40186"/>
    <n v="5"/>
    <s v="Fashion"/>
    <d v="2022-12-15T00:00:00"/>
    <s v="Silk &amp; Style"/>
    <x v="7"/>
    <n v="5611.87"/>
    <n v="510.17"/>
    <n v="0.39"/>
  </r>
  <r>
    <s v="Women 35-44"/>
    <s v="Brand Awareness"/>
    <s v="15 Days"/>
    <x v="1"/>
    <n v="0.02"/>
    <n v="2696.71"/>
    <n v="3.23"/>
    <n v="6600"/>
    <n v="21069"/>
    <n v="4"/>
    <s v="Technology"/>
    <d v="2022-12-13T00:00:00"/>
    <s v="NexGen Nerds"/>
    <x v="7"/>
    <n v="2966.3809999999999"/>
    <n v="269.67099999999999"/>
    <n v="0.41"/>
  </r>
  <r>
    <s v="Men 45-60"/>
    <s v="Increase Sales"/>
    <s v="30 Days"/>
    <x v="0"/>
    <n v="0.13"/>
    <n v="4904.92"/>
    <n v="1.59"/>
    <n v="12513"/>
    <n v="38583"/>
    <n v="8"/>
    <s v="Fashion"/>
    <d v="2022-09-24T00:00:00"/>
    <s v="Chic Couture"/>
    <x v="8"/>
    <n v="5395.4120000000003"/>
    <n v="490.49200000000002"/>
    <n v="0.39"/>
  </r>
  <r>
    <s v="Women 25-34"/>
    <s v="Increase Sales"/>
    <s v="15 Days"/>
    <x v="3"/>
    <n v="0.02"/>
    <n v="500"/>
    <n v="7.48"/>
    <n v="1216"/>
    <n v="5123"/>
    <n v="5"/>
    <s v="Food"/>
    <d v="2022-10-08T00:00:00"/>
    <s v="Epicurean Edge"/>
    <x v="5"/>
    <n v="550"/>
    <n v="50"/>
    <n v="0.41"/>
  </r>
  <r>
    <s v="Women 25-34"/>
    <s v="Product Launch"/>
    <s v="60 Days"/>
    <x v="3"/>
    <n v="0.11"/>
    <n v="13885.79"/>
    <n v="2.86"/>
    <n v="36428"/>
    <n v="109421"/>
    <n v="9"/>
    <s v="Fashion"/>
    <d v="2022-11-27T00:00:00"/>
    <s v="Runway Rebels"/>
    <x v="3"/>
    <n v="15274.369000000001"/>
    <n v="1388.579"/>
    <n v="0.38"/>
  </r>
  <r>
    <s v="All Ages"/>
    <s v="Product Launch"/>
    <s v="15 Days"/>
    <x v="3"/>
    <n v="0.14000000000000001"/>
    <n v="2564.9499999999998"/>
    <n v="6.43"/>
    <n v="6268"/>
    <n v="20086"/>
    <n v="1"/>
    <s v="Home"/>
    <d v="2022-01-26T00:00:00"/>
    <s v="Nest Neat"/>
    <x v="1"/>
    <n v="2821.4450000000002"/>
    <n v="256.495"/>
    <n v="0.41"/>
  </r>
  <r>
    <s v="Men 25-34"/>
    <s v="Increase Sales"/>
    <s v="45 Days"/>
    <x v="1"/>
    <n v="0.15"/>
    <n v="11005.77"/>
    <n v="3.17"/>
    <n v="29082"/>
    <n v="87662"/>
    <n v="6"/>
    <s v="Technology"/>
    <d v="2022-09-23T00:00:00"/>
    <s v="Innovate Infinity"/>
    <x v="8"/>
    <n v="12106.347"/>
    <n v="1100.577"/>
    <n v="0.38"/>
  </r>
  <r>
    <s v="Men 45-60"/>
    <s v="Market Expansion"/>
    <s v="30 Days"/>
    <x v="2"/>
    <n v="0.11"/>
    <n v="5346.81"/>
    <n v="0.10188594029195699"/>
    <n v="8055"/>
    <n v="27210"/>
    <n v="1"/>
    <s v="Home"/>
    <d v="2022-11-10T00:00:00"/>
    <s v="Dwell Delight"/>
    <x v="3"/>
    <n v="5881.491"/>
    <n v="534.68100000000004"/>
    <n v="0.66"/>
  </r>
  <r>
    <s v="Men 18-24"/>
    <s v="Brand Awareness"/>
    <s v="60 Days"/>
    <x v="3"/>
    <n v="0.12"/>
    <n v="13082.96"/>
    <n v="0.81"/>
    <n v="34585"/>
    <n v="103961"/>
    <n v="5"/>
    <s v="Technology"/>
    <d v="2022-03-21T00:00:00"/>
    <s v="Cyber Circuit"/>
    <x v="11"/>
    <n v="14391.255999999999"/>
    <n v="1308.296"/>
    <n v="0.38"/>
  </r>
  <r>
    <s v="Women 18-24"/>
    <s v="Product Launch"/>
    <s v="30 Days"/>
    <x v="0"/>
    <n v="0.05"/>
    <n v="6390.56"/>
    <n v="4.53"/>
    <n v="16556"/>
    <n v="50560"/>
    <n v="8"/>
    <s v="Fashion"/>
    <d v="2022-12-21T00:00:00"/>
    <s v="Fiber Fashion"/>
    <x v="7"/>
    <n v="7029.616"/>
    <n v="639.05600000000004"/>
    <n v="0.39"/>
  </r>
  <r>
    <s v="Women 45-60"/>
    <s v="Increase Sales"/>
    <s v="45 Days"/>
    <x v="0"/>
    <n v="0.03"/>
    <n v="10803.75"/>
    <n v="0.4"/>
    <n v="28538"/>
    <n v="86050"/>
    <n v="7"/>
    <s v="Food"/>
    <d v="2022-02-14T00:00:00"/>
    <s v="Bistro Bliss"/>
    <x v="6"/>
    <n v="11884.125"/>
    <n v="1080.375"/>
    <n v="0.38"/>
  </r>
  <r>
    <s v="Men 25-34"/>
    <s v="Market Expansion"/>
    <s v="45 Days"/>
    <x v="0"/>
    <n v="0.11"/>
    <n v="10178.459999999999"/>
    <n v="0.34"/>
    <n v="26840"/>
    <n v="81022"/>
    <n v="7"/>
    <s v="Home"/>
    <d v="2022-10-07T00:00:00"/>
    <s v="Homely Haven"/>
    <x v="5"/>
    <n v="11196.306"/>
    <n v="1017.846"/>
    <n v="0.38"/>
  </r>
  <r>
    <s v="All Ages"/>
    <s v="Brand Awareness"/>
    <s v="60 Days"/>
    <x v="1"/>
    <n v="0.13"/>
    <n v="11584.98"/>
    <n v="2.65"/>
    <n v="30675"/>
    <n v="92379"/>
    <n v="4"/>
    <s v="Technology"/>
    <d v="2022-12-17T00:00:00"/>
    <s v="NexGen Nerds"/>
    <x v="7"/>
    <n v="12743.477999999999"/>
    <n v="1158.498"/>
    <n v="0.38"/>
  </r>
  <r>
    <s v="Men 18-24"/>
    <s v="Brand Awareness"/>
    <s v="60 Days"/>
    <x v="1"/>
    <n v="0.15"/>
    <n v="14991.15"/>
    <n v="6.06"/>
    <n v="38398"/>
    <n v="115257"/>
    <n v="7"/>
    <s v="Fashion"/>
    <d v="2022-10-17T00:00:00"/>
    <s v="Style Sphere"/>
    <x v="5"/>
    <n v="16490.264999999999"/>
    <n v="1499.11499999999"/>
    <n v="0.39"/>
  </r>
  <r>
    <s v="All Ages"/>
    <s v="Product Launch"/>
    <s v="45 Days"/>
    <x v="1"/>
    <n v="0.04"/>
    <n v="10811.68"/>
    <n v="3.71"/>
    <n v="28560"/>
    <n v="86116"/>
    <n v="6"/>
    <s v="Food"/>
    <d v="2022-06-25T00:00:00"/>
    <s v="Palate Paradise"/>
    <x v="9"/>
    <n v="11892.848"/>
    <n v="1081.1679999999999"/>
    <n v="0.38"/>
  </r>
  <r>
    <s v="All Ages"/>
    <s v="Market Expansion"/>
    <s v="45 Days"/>
    <x v="2"/>
    <n v="0.06"/>
    <n v="9041.4699999999993"/>
    <n v="0.96523522381854299"/>
    <n v="13940"/>
    <n v="46373"/>
    <n v="1"/>
    <s v="Health"/>
    <d v="2022-04-18T00:00:00"/>
    <s v="Fitness Front"/>
    <x v="10"/>
    <n v="9945.6170000000002"/>
    <n v="904.14700000000005"/>
    <n v="0.65"/>
  </r>
  <r>
    <s v="Men 25-34"/>
    <s v="Market Expansion"/>
    <s v="30 Days"/>
    <x v="3"/>
    <n v="0.05"/>
    <n v="6208.54"/>
    <n v="0.47"/>
    <n v="16059"/>
    <n v="49088"/>
    <n v="1"/>
    <s v="Fashion"/>
    <d v="2022-10-05T00:00:00"/>
    <s v="Mode Maven"/>
    <x v="5"/>
    <n v="6829.3940000000002"/>
    <n v="620.85400000000004"/>
    <n v="0.39"/>
  </r>
  <r>
    <s v="All Ages"/>
    <s v="Brand Awareness"/>
    <s v="45 Days"/>
    <x v="1"/>
    <n v="0.1"/>
    <n v="10612.61"/>
    <n v="0.41"/>
    <n v="28021"/>
    <n v="84519"/>
    <n v="4"/>
    <s v="Health"/>
    <d v="2022-12-12T00:00:00"/>
    <s v="Vital Vigor"/>
    <x v="7"/>
    <n v="11673.870999999999"/>
    <n v="1061.261"/>
    <n v="0.38"/>
  </r>
  <r>
    <s v="Women 25-34"/>
    <s v="Market Expansion"/>
    <s v="45 Days"/>
    <x v="1"/>
    <n v="0.03"/>
    <n v="11232.55"/>
    <n v="4.46"/>
    <n v="29717"/>
    <n v="89543"/>
    <n v="4"/>
    <s v="Food"/>
    <d v="2022-06-19T00:00:00"/>
    <s v="Gastronomy Guild"/>
    <x v="9"/>
    <n v="12355.805"/>
    <n v="1123.2550000000001"/>
    <n v="0.38"/>
  </r>
  <r>
    <s v="Men 45-60"/>
    <s v="Market Expansion"/>
    <s v="15 Days"/>
    <x v="1"/>
    <n v="0.05"/>
    <n v="2493.9499999999998"/>
    <n v="2.31"/>
    <n v="6094"/>
    <n v="19572"/>
    <n v="6"/>
    <s v="Food"/>
    <d v="2022-04-10T00:00:00"/>
    <s v="Gourmet Grove"/>
    <x v="10"/>
    <n v="2743.3449999999998"/>
    <n v="249.39499999999899"/>
    <n v="0.41"/>
  </r>
  <r>
    <s v="All Ages"/>
    <s v="Product Launch"/>
    <s v="45 Days"/>
    <x v="1"/>
    <n v="0.13"/>
    <n v="11322.58"/>
    <n v="7.16"/>
    <n v="29957"/>
    <n v="90254"/>
    <n v="5"/>
    <s v="Home"/>
    <d v="2022-02-05T00:00:00"/>
    <s v="Dwell Delight"/>
    <x v="6"/>
    <n v="12454.838"/>
    <n v="1132.258"/>
    <n v="0.38"/>
  </r>
  <r>
    <s v="All Ages"/>
    <s v="Brand Awareness"/>
    <s v="30 Days"/>
    <x v="2"/>
    <n v="0.13"/>
    <n v="7372.25"/>
    <n v="0.71141410940700001"/>
    <n v="11273"/>
    <n v="37690"/>
    <n v="1"/>
    <s v="Fashion"/>
    <d v="2022-11-07T00:00:00"/>
    <s v="Mode Maven"/>
    <x v="3"/>
    <n v="8109.4750000000004"/>
    <n v="737.22500000000002"/>
    <n v="0.65"/>
  </r>
  <r>
    <s v="Men 25-34"/>
    <s v="Increase Sales"/>
    <s v="15 Days"/>
    <x v="2"/>
    <n v="0.06"/>
    <n v="3175.15"/>
    <n v="0.82223741288246199"/>
    <n v="4598"/>
    <n v="15955"/>
    <n v="1"/>
    <s v="Health"/>
    <d v="2022-10-28T00:00:00"/>
    <s v="Vital Vigor"/>
    <x v="5"/>
    <n v="3492.665"/>
    <n v="317.51499999999999"/>
    <n v="0.69"/>
  </r>
  <r>
    <s v="Women 35-44"/>
    <s v="Brand Awareness"/>
    <s v="45 Days"/>
    <x v="0"/>
    <n v="0.12"/>
    <n v="11340.84"/>
    <n v="4.63"/>
    <n v="30004"/>
    <n v="90394"/>
    <n v="9"/>
    <s v="Fashion"/>
    <d v="2022-04-21T00:00:00"/>
    <s v="Vogue Visions"/>
    <x v="10"/>
    <n v="12474.924000000001"/>
    <n v="1134.0840000000001"/>
    <n v="0.38"/>
  </r>
  <r>
    <s v="Men 35-44"/>
    <s v="Increase Sales"/>
    <s v="30 Days"/>
    <x v="0"/>
    <n v="0.09"/>
    <n v="4537.78"/>
    <n v="6.51"/>
    <n v="11514"/>
    <n v="35625"/>
    <n v="4"/>
    <s v="Health"/>
    <d v="2022-01-01T00:00:00"/>
    <s v="Wellness Waves"/>
    <x v="1"/>
    <n v="4991.558"/>
    <n v="453.77800000000002"/>
    <n v="0.39"/>
  </r>
  <r>
    <s v="Women 18-24"/>
    <s v="Market Expansion"/>
    <s v="15 Days"/>
    <x v="1"/>
    <n v="0.08"/>
    <n v="3487.84"/>
    <n v="7.25"/>
    <n v="8652"/>
    <n v="27147"/>
    <n v="1"/>
    <s v="Technology"/>
    <d v="2022-10-30T00:00:00"/>
    <s v="Pixel Pioneers"/>
    <x v="5"/>
    <n v="3836.6239999999998"/>
    <n v="348.78399999999999"/>
    <n v="0.4"/>
  </r>
  <r>
    <s v="Women 35-44"/>
    <s v="Product Launch"/>
    <s v="45 Days"/>
    <x v="3"/>
    <n v="0.09"/>
    <n v="7933.99"/>
    <n v="5.57"/>
    <n v="20732"/>
    <n v="62929"/>
    <n v="1"/>
    <s v="Home"/>
    <d v="2022-12-21T00:00:00"/>
    <s v="Cozy Corners"/>
    <x v="7"/>
    <n v="8727.3889999999992"/>
    <n v="793.39900000000102"/>
    <n v="0.38"/>
  </r>
  <r>
    <s v="Men 35-44"/>
    <s v="Increase Sales"/>
    <s v="45 Days"/>
    <x v="3"/>
    <n v="0.09"/>
    <n v="8033.86"/>
    <n v="6.24"/>
    <n v="21008"/>
    <n v="63745"/>
    <n v="10"/>
    <s v="Fashion"/>
    <d v="2022-06-13T00:00:00"/>
    <s v="Glam Garments"/>
    <x v="9"/>
    <n v="8837.2459999999992"/>
    <n v="803.38600000000099"/>
    <n v="0.38"/>
  </r>
  <r>
    <s v="Women 35-44"/>
    <s v="Product Launch"/>
    <s v="45 Days"/>
    <x v="2"/>
    <n v="0.13"/>
    <n v="9711.0499999999993"/>
    <n v="0.97417258700204801"/>
    <n v="15016"/>
    <n v="49877"/>
    <n v="1"/>
    <s v="Fashion"/>
    <d v="2022-10-03T00:00:00"/>
    <s v="Trend Tailors"/>
    <x v="5"/>
    <n v="10682.155000000001"/>
    <n v="971.10500000000104"/>
    <n v="0.65"/>
  </r>
  <r>
    <s v="Women 25-34"/>
    <s v="Market Expansion"/>
    <s v="60 Days"/>
    <x v="0"/>
    <n v="0.08"/>
    <n v="11679.76"/>
    <n v="0.04"/>
    <n v="30921"/>
    <n v="93109"/>
    <n v="7"/>
    <s v="Home"/>
    <d v="2022-08-03T00:00:00"/>
    <s v="Nest Neat"/>
    <x v="2"/>
    <n v="12847.736000000001"/>
    <n v="1167.9760000000001"/>
    <n v="0.38"/>
  </r>
  <r>
    <s v="Women 25-34"/>
    <s v="Brand Awareness"/>
    <s v="45 Days"/>
    <x v="3"/>
    <n v="0.09"/>
    <n v="10229.77"/>
    <n v="7.15"/>
    <n v="26981"/>
    <n v="81437"/>
    <n v="6"/>
    <s v="Home"/>
    <d v="2022-01-08T00:00:00"/>
    <s v="Living Luxe"/>
    <x v="1"/>
    <n v="11252.746999999999"/>
    <n v="1022.977"/>
    <n v="0.38"/>
  </r>
  <r>
    <s v="Men 35-44"/>
    <s v="Increase Sales"/>
    <s v="15 Days"/>
    <x v="1"/>
    <n v="0.03"/>
    <n v="3353.84"/>
    <n v="5.48"/>
    <n v="8303"/>
    <n v="26114"/>
    <n v="5"/>
    <s v="Technology"/>
    <d v="2022-08-27T00:00:00"/>
    <s v="Gadget Giants"/>
    <x v="2"/>
    <n v="3689.2240000000002"/>
    <n v="335.38400000000001"/>
    <n v="0.4"/>
  </r>
  <r>
    <s v="Men 18-24"/>
    <s v="Increase Sales"/>
    <s v="60 Days"/>
    <x v="3"/>
    <n v="7.0000000000000007E-2"/>
    <n v="13279.38"/>
    <n v="0.74"/>
    <n v="35060"/>
    <n v="105370"/>
    <n v="9"/>
    <s v="Food"/>
    <d v="2022-05-06T00:00:00"/>
    <s v="Feast Flavors"/>
    <x v="4"/>
    <n v="14607.317999999999"/>
    <n v="1327.9380000000001"/>
    <n v="0.38"/>
  </r>
  <r>
    <s v="Men 18-24"/>
    <s v="Brand Awareness"/>
    <s v="45 Days"/>
    <x v="0"/>
    <n v="0.02"/>
    <n v="9625.86"/>
    <n v="1.45"/>
    <n v="25330"/>
    <n v="76547"/>
    <n v="7"/>
    <s v="Health"/>
    <d v="2022-11-17T00:00:00"/>
    <s v="Vigor Valley"/>
    <x v="3"/>
    <n v="10588.446"/>
    <n v="962.58600000000104"/>
    <n v="0.38"/>
  </r>
  <r>
    <s v="Women 35-44"/>
    <s v="Product Launch"/>
    <s v="30 Days"/>
    <x v="1"/>
    <n v="0.11"/>
    <n v="6873.91"/>
    <n v="0.56000000000000005"/>
    <n v="17855"/>
    <n v="54407"/>
    <n v="2"/>
    <s v="Fashion"/>
    <d v="2022-04-08T00:00:00"/>
    <s v="Vogue Visions"/>
    <x v="10"/>
    <n v="7561.3010000000004"/>
    <n v="687.39099999999996"/>
    <n v="0.38"/>
  </r>
  <r>
    <s v="Women 18-24"/>
    <s v="Brand Awareness"/>
    <s v="15 Days"/>
    <x v="0"/>
    <n v="7.0000000000000007E-2"/>
    <n v="4071.66"/>
    <n v="1.5"/>
    <n v="10236"/>
    <n v="31840"/>
    <n v="4"/>
    <s v="Health"/>
    <d v="2022-08-07T00:00:00"/>
    <s v="Fitness Front"/>
    <x v="2"/>
    <n v="4478.826"/>
    <n v="407.166"/>
    <n v="0.4"/>
  </r>
  <r>
    <s v="Women 18-24"/>
    <s v="Market Expansion"/>
    <s v="45 Days"/>
    <x v="0"/>
    <n v="0.14000000000000001"/>
    <n v="7965.35"/>
    <n v="6.89"/>
    <n v="20817"/>
    <n v="63180"/>
    <n v="5"/>
    <s v="Fashion"/>
    <d v="2022-06-10T00:00:00"/>
    <s v="Chic Couture"/>
    <x v="9"/>
    <n v="8761.8850000000002"/>
    <n v="796.53499999999894"/>
    <n v="0.38"/>
  </r>
  <r>
    <s v="Men 35-44"/>
    <s v="Market Expansion"/>
    <s v="45 Days"/>
    <x v="0"/>
    <n v="0.03"/>
    <n v="8582.73"/>
    <n v="0.08"/>
    <n v="22513"/>
    <n v="68205"/>
    <n v="6"/>
    <s v="Technology"/>
    <d v="2022-02-01T00:00:00"/>
    <s v="Silicon Saga"/>
    <x v="6"/>
    <n v="9441.0030000000006"/>
    <n v="858.27300000000105"/>
    <n v="0.38"/>
  </r>
  <r>
    <s v="Women 45-60"/>
    <s v="Increase Sales"/>
    <s v="60 Days"/>
    <x v="2"/>
    <n v="0.05"/>
    <n v="14171.92"/>
    <n v="0.81330004969895697"/>
    <n v="21744"/>
    <n v="71784"/>
    <n v="1"/>
    <s v="Technology"/>
    <d v="2022-09-13T00:00:00"/>
    <s v="Gadget Giants"/>
    <x v="8"/>
    <n v="15589.111999999999"/>
    <n v="1417.192"/>
    <n v="0.65"/>
  </r>
  <r>
    <s v="Men 25-34"/>
    <s v="Product Launch"/>
    <s v="45 Days"/>
    <x v="0"/>
    <n v="0.02"/>
    <n v="10024.879999999999"/>
    <n v="4.8600000000000003"/>
    <n v="26416"/>
    <n v="79765"/>
    <n v="3"/>
    <s v="Health"/>
    <d v="2022-03-01T00:00:00"/>
    <s v="Vital Vigor"/>
    <x v="11"/>
    <n v="11027.368"/>
    <n v="1002.4880000000001"/>
    <n v="0.38"/>
  </r>
  <r>
    <s v="All Ages"/>
    <s v="Brand Awareness"/>
    <s v="30 Days"/>
    <x v="3"/>
    <n v="0.13"/>
    <n v="4924.8900000000003"/>
    <n v="7.9"/>
    <n v="12572"/>
    <n v="38759"/>
    <n v="9"/>
    <s v="Home"/>
    <d v="2022-06-23T00:00:00"/>
    <s v="Dwell Delight"/>
    <x v="9"/>
    <n v="5417.3789999999999"/>
    <n v="492.48899999999998"/>
    <n v="0.39"/>
  </r>
  <r>
    <s v="Women 35-44"/>
    <s v="Market Expansion"/>
    <s v="45 Days"/>
    <x v="2"/>
    <n v="0.13"/>
    <n v="8337.5499999999993"/>
    <n v="0.77576312432823602"/>
    <n v="12827"/>
    <n v="42750"/>
    <n v="1"/>
    <s v="Technology"/>
    <d v="2022-03-22T00:00:00"/>
    <s v="Code Crafters"/>
    <x v="11"/>
    <n v="9171.3050000000003"/>
    <n v="833.75500000000102"/>
    <n v="0.65"/>
  </r>
  <r>
    <s v="All Ages"/>
    <s v="Increase Sales"/>
    <s v="60 Days"/>
    <x v="0"/>
    <n v="0.03"/>
    <n v="11680.14"/>
    <n v="3.14"/>
    <n v="30922"/>
    <n v="93112"/>
    <n v="1"/>
    <s v="Fashion"/>
    <d v="2022-07-23T00:00:00"/>
    <s v="Chic Couture"/>
    <x v="0"/>
    <n v="12848.154"/>
    <n v="1168.0139999999999"/>
    <n v="0.38"/>
  </r>
  <r>
    <s v="Women 25-34"/>
    <s v="Increase Sales"/>
    <s v="15 Days"/>
    <x v="2"/>
    <n v="0.01"/>
    <n v="3095.93"/>
    <n v="0.99919720391586198"/>
    <n v="4478"/>
    <n v="15563"/>
    <n v="1"/>
    <s v="Health"/>
    <d v="2022-02-04T00:00:00"/>
    <s v="Aura Align"/>
    <x v="6"/>
    <n v="3405.5230000000001"/>
    <n v="309.59300000000002"/>
    <n v="0.69"/>
  </r>
  <r>
    <s v="Men 45-60"/>
    <s v="Product Launch"/>
    <s v="60 Days"/>
    <x v="0"/>
    <n v="0.1"/>
    <n v="12519.78"/>
    <n v="1.86"/>
    <n v="33134"/>
    <n v="99664"/>
    <n v="4"/>
    <s v="Home"/>
    <d v="2022-05-06T00:00:00"/>
    <s v="Domestic Dream"/>
    <x v="4"/>
    <n v="13771.758"/>
    <n v="1251.9780000000001"/>
    <n v="0.38"/>
  </r>
  <r>
    <s v="Men 18-24"/>
    <s v="Brand Awareness"/>
    <s v="30 Days"/>
    <x v="2"/>
    <n v="0.14000000000000001"/>
    <n v="5232.6899999999996"/>
    <n v="0.72392641786390699"/>
    <n v="7879"/>
    <n v="26636"/>
    <n v="1"/>
    <s v="Health"/>
    <d v="2022-06-18T00:00:00"/>
    <s v="Aura Align"/>
    <x v="9"/>
    <n v="5755.9589999999998"/>
    <n v="523.26900000000001"/>
    <n v="0.66"/>
  </r>
  <r>
    <s v="Men 18-24"/>
    <s v="Market Expansion"/>
    <s v="60 Days"/>
    <x v="2"/>
    <n v="0.03"/>
    <n v="13825.86"/>
    <n v="1.00455962182596"/>
    <n v="21321"/>
    <n v="70405"/>
    <n v="1"/>
    <s v="Food"/>
    <d v="2022-06-28T00:00:00"/>
    <s v="Feast Flavors"/>
    <x v="9"/>
    <n v="15208.446"/>
    <n v="1382.586"/>
    <n v="0.65"/>
  </r>
  <r>
    <s v="Men 45-60"/>
    <s v="Market Expansion"/>
    <s v="15 Days"/>
    <x v="0"/>
    <n v="0.08"/>
    <n v="2609.3000000000002"/>
    <n v="7.01"/>
    <n v="6382"/>
    <n v="20424"/>
    <n v="3"/>
    <s v="Food"/>
    <d v="2022-11-11T00:00:00"/>
    <s v="Bistro Bliss"/>
    <x v="3"/>
    <n v="2870.23"/>
    <n v="260.93"/>
    <n v="0.41"/>
  </r>
  <r>
    <s v="All Ages"/>
    <s v="Product Launch"/>
    <s v="15 Days"/>
    <x v="0"/>
    <n v="0.11"/>
    <n v="3195.95"/>
    <n v="3.6"/>
    <n v="7883"/>
    <n v="24870"/>
    <n v="4"/>
    <s v="Technology"/>
    <d v="2022-05-14T00:00:00"/>
    <s v="Quantum Quirks"/>
    <x v="4"/>
    <n v="3515.5450000000001"/>
    <n v="319.59500000000003"/>
    <n v="0.41"/>
  </r>
  <r>
    <s v="Men 25-34"/>
    <s v="Brand Awareness"/>
    <s v="30 Days"/>
    <x v="3"/>
    <n v="0.01"/>
    <n v="6757.53"/>
    <n v="3.96"/>
    <n v="17534"/>
    <n v="53456"/>
    <n v="5"/>
    <s v="Home"/>
    <d v="2022-02-20T00:00:00"/>
    <s v="Dwell Delight"/>
    <x v="6"/>
    <n v="7433.2830000000004"/>
    <n v="675.75300000000004"/>
    <n v="0.39"/>
  </r>
  <r>
    <s v="Men 45-60"/>
    <s v="Increase Sales"/>
    <s v="30 Days"/>
    <x v="0"/>
    <n v="0.12"/>
    <n v="6948.79"/>
    <n v="7.07"/>
    <n v="18059"/>
    <n v="55010"/>
    <n v="4"/>
    <s v="Health"/>
    <d v="2022-09-24T00:00:00"/>
    <s v="Pulse Point"/>
    <x v="8"/>
    <n v="7643.6689999999999"/>
    <n v="694.87900000000002"/>
    <n v="0.38"/>
  </r>
  <r>
    <s v="Men 25-34"/>
    <s v="Brand Awareness"/>
    <s v="30 Days"/>
    <x v="2"/>
    <n v="0.09"/>
    <n v="4645.51"/>
    <n v="0.61667805966184697"/>
    <n v="6933"/>
    <n v="23557"/>
    <n v="1"/>
    <s v="Technology"/>
    <d v="2022-09-26T00:00:00"/>
    <s v="Code Crafters"/>
    <x v="8"/>
    <n v="5110.0609999999997"/>
    <n v="464.55099999999999"/>
    <n v="0.67"/>
  </r>
  <r>
    <s v="Women 25-34"/>
    <s v="Brand Awareness"/>
    <s v="45 Days"/>
    <x v="3"/>
    <n v="0.09"/>
    <n v="9765.52"/>
    <n v="2.5"/>
    <n v="25722"/>
    <n v="77708"/>
    <n v="4"/>
    <s v="Fashion"/>
    <d v="2022-09-07T00:00:00"/>
    <s v="Attire Artistry"/>
    <x v="8"/>
    <n v="10742.072"/>
    <n v="976.55200000000104"/>
    <n v="0.38"/>
  </r>
  <r>
    <s v="Men 35-44"/>
    <s v="Market Expansion"/>
    <s v="45 Days"/>
    <x v="3"/>
    <n v="0.11"/>
    <n v="11082.16"/>
    <n v="5.7"/>
    <n v="29299"/>
    <n v="88304"/>
    <n v="10"/>
    <s v="Food"/>
    <d v="2022-01-28T00:00:00"/>
    <s v="Feast Flavors"/>
    <x v="1"/>
    <n v="12190.376"/>
    <n v="1108.2159999999999"/>
    <n v="0.38"/>
  </r>
  <r>
    <s v="Men 25-34"/>
    <s v="Brand Awareness"/>
    <s v="45 Days"/>
    <x v="2"/>
    <n v="0.06"/>
    <n v="10601.46"/>
    <n v="0.169809900486595"/>
    <n v="16438"/>
    <n v="54505"/>
    <n v="1"/>
    <s v="Health"/>
    <d v="2022-08-03T00:00:00"/>
    <s v="Vital Vigor"/>
    <x v="2"/>
    <n v="11661.606"/>
    <n v="1060.146"/>
    <n v="0.64"/>
  </r>
  <r>
    <s v="Men 25-34"/>
    <s v="Market Expansion"/>
    <s v="30 Days"/>
    <x v="0"/>
    <n v="0.04"/>
    <n v="5774.68"/>
    <n v="2.0099999999999998"/>
    <n v="14877"/>
    <n v="45586"/>
    <n v="1"/>
    <s v="Technology"/>
    <d v="2022-12-31T00:00:00"/>
    <s v="Gadget Giants"/>
    <x v="7"/>
    <n v="6352.1480000000001"/>
    <n v="577.46799999999996"/>
    <n v="0.39"/>
  </r>
  <r>
    <s v="Women 35-44"/>
    <s v="Product Launch"/>
    <s v="15 Days"/>
    <x v="1"/>
    <n v="7.0000000000000007E-2"/>
    <n v="2333.66"/>
    <n v="2.13"/>
    <n v="5707"/>
    <n v="18424"/>
    <n v="3"/>
    <s v="Food"/>
    <d v="2022-12-07T00:00:00"/>
    <s v="Culinary Quest"/>
    <x v="7"/>
    <n v="2567.0259999999998"/>
    <n v="233.36599999999899"/>
    <n v="0.41"/>
  </r>
  <r>
    <s v="Men 25-34"/>
    <s v="Increase Sales"/>
    <s v="45 Days"/>
    <x v="3"/>
    <n v="0.12"/>
    <n v="8712.83"/>
    <n v="1.58"/>
    <n v="22860"/>
    <n v="69233"/>
    <n v="9"/>
    <s v="Fashion"/>
    <d v="2022-06-10T00:00:00"/>
    <s v="Vogue Visions"/>
    <x v="9"/>
    <n v="9584.1129999999994"/>
    <n v="871.28300000000104"/>
    <n v="0.38"/>
  </r>
  <r>
    <s v="Men 35-44"/>
    <s v="Market Expansion"/>
    <s v="15 Days"/>
    <x v="2"/>
    <n v="0.01"/>
    <n v="3263.1"/>
    <n v="0.437930795991746"/>
    <n v="4733"/>
    <n v="16394"/>
    <n v="1"/>
    <s v="Health"/>
    <d v="2022-07-27T00:00:00"/>
    <s v="Vigor Valley"/>
    <x v="0"/>
    <n v="3589.41"/>
    <n v="326.31"/>
    <n v="0.69"/>
  </r>
  <r>
    <s v="Women 25-34"/>
    <s v="Product Launch"/>
    <s v="15 Days"/>
    <x v="2"/>
    <n v="0.14000000000000001"/>
    <n v="1986.65"/>
    <n v="0.875861591983493"/>
    <n v="2860"/>
    <n v="10294"/>
    <n v="1"/>
    <s v="Fashion"/>
    <d v="2022-07-04T00:00:00"/>
    <s v="Silk &amp; Style"/>
    <x v="0"/>
    <n v="2185.3150000000001"/>
    <n v="198.664999999999"/>
    <n v="0.69"/>
  </r>
  <r>
    <s v="Men 45-60"/>
    <s v="Market Expansion"/>
    <s v="45 Days"/>
    <x v="3"/>
    <n v="0.04"/>
    <n v="8913.35"/>
    <n v="1.65"/>
    <n v="23392"/>
    <n v="70807"/>
    <n v="1"/>
    <s v="Fashion"/>
    <d v="2022-08-03T00:00:00"/>
    <s v="Trend Tailors"/>
    <x v="2"/>
    <n v="9804.6849999999995"/>
    <n v="891.33500000000095"/>
    <n v="0.38"/>
  </r>
  <r>
    <s v="Women 18-24"/>
    <s v="Product Launch"/>
    <s v="15 Days"/>
    <x v="0"/>
    <n v="0.11"/>
    <n v="2934.59"/>
    <n v="7.7"/>
    <n v="7204"/>
    <n v="22858"/>
    <n v="4"/>
    <s v="Food"/>
    <d v="2022-06-22T00:00:00"/>
    <s v="Feast Flavors"/>
    <x v="9"/>
    <n v="3228.049"/>
    <n v="293.459"/>
    <n v="0.41"/>
  </r>
  <r>
    <s v="Men 45-60"/>
    <s v="Brand Awareness"/>
    <s v="30 Days"/>
    <x v="3"/>
    <n v="0.04"/>
    <n v="5740.49"/>
    <n v="3.27"/>
    <n v="14786"/>
    <n v="45316"/>
    <n v="9"/>
    <s v="Home"/>
    <d v="2022-08-27T00:00:00"/>
    <s v="Hearth Harmony"/>
    <x v="2"/>
    <n v="6314.5389999999998"/>
    <n v="574.04899999999998"/>
    <n v="0.39"/>
  </r>
  <r>
    <s v="Women 25-34"/>
    <s v="Product Launch"/>
    <s v="15 Days"/>
    <x v="1"/>
    <n v="0.06"/>
    <n v="4025.75"/>
    <n v="5.13"/>
    <n v="10106"/>
    <n v="31455"/>
    <n v="4"/>
    <s v="Home"/>
    <d v="2022-09-24T00:00:00"/>
    <s v="Living Luxe"/>
    <x v="8"/>
    <n v="4428.3249999999998"/>
    <n v="402.57499999999999"/>
    <n v="0.4"/>
  </r>
  <r>
    <s v="Women 45-60"/>
    <s v="Product Launch"/>
    <s v="60 Days"/>
    <x v="0"/>
    <n v="0.03"/>
    <n v="13752.43"/>
    <n v="5.01"/>
    <n v="36143"/>
    <n v="108578"/>
    <n v="9"/>
    <s v="Health"/>
    <d v="2022-09-15T00:00:00"/>
    <s v="Balance Beam"/>
    <x v="8"/>
    <n v="15127.673000000001"/>
    <n v="1375.2429999999999"/>
    <n v="0.38"/>
  </r>
  <r>
    <s v="Women 25-34"/>
    <s v="Market Expansion"/>
    <s v="15 Days"/>
    <x v="0"/>
    <n v="0.1"/>
    <n v="3564.63"/>
    <n v="3.61"/>
    <n v="8861"/>
    <n v="27766"/>
    <n v="2"/>
    <s v="Food"/>
    <d v="2022-08-19T00:00:00"/>
    <s v="Gourmet Grove"/>
    <x v="2"/>
    <n v="3921.0929999999998"/>
    <n v="356.46300000000002"/>
    <n v="0.4"/>
  </r>
  <r>
    <s v="Women 25-34"/>
    <s v="Brand Awareness"/>
    <s v="15 Days"/>
    <x v="2"/>
    <n v="0.1"/>
    <n v="1614.59"/>
    <n v="0.96702269645524397"/>
    <n v="2373"/>
    <n v="8709"/>
    <n v="1"/>
    <s v="Technology"/>
    <d v="2022-12-05T00:00:00"/>
    <s v="NexGen Nerds"/>
    <x v="7"/>
    <n v="1776.049"/>
    <n v="161.459"/>
    <n v="0.68"/>
  </r>
  <r>
    <s v="Men 45-60"/>
    <s v="Brand Awareness"/>
    <s v="60 Days"/>
    <x v="1"/>
    <n v="0.08"/>
    <n v="13205.14"/>
    <n v="2.4700000000000002"/>
    <n v="34885"/>
    <n v="104849"/>
    <n v="3"/>
    <s v="Fashion"/>
    <d v="2022-11-21T00:00:00"/>
    <s v="Style Sphere"/>
    <x v="3"/>
    <n v="14525.654"/>
    <n v="1320.5139999999999"/>
    <n v="0.38"/>
  </r>
  <r>
    <s v="Women 45-60"/>
    <s v="Brand Awareness"/>
    <s v="15 Days"/>
    <x v="2"/>
    <n v="0.12"/>
    <n v="500"/>
    <n v="0.50049233827628103"/>
    <n v="976"/>
    <n v="4161"/>
    <n v="1"/>
    <s v="Fashion"/>
    <d v="2022-04-24T00:00:00"/>
    <s v="Chic Couture"/>
    <x v="10"/>
    <n v="550"/>
    <n v="50"/>
    <n v="0.51"/>
  </r>
  <r>
    <s v="Men 18-24"/>
    <s v="Increase Sales"/>
    <s v="15 Days"/>
    <x v="1"/>
    <n v="0.09"/>
    <n v="861.71"/>
    <n v="1.1000000000000001"/>
    <n v="2615"/>
    <n v="9264"/>
    <n v="3"/>
    <s v="Food"/>
    <d v="2022-09-20T00:00:00"/>
    <s v="Nosh Nirvana"/>
    <x v="8"/>
    <n v="947.88099999999997"/>
    <n v="86.171000000000006"/>
    <n v="0.33"/>
  </r>
  <r>
    <s v="Men 45-60"/>
    <s v="Product Launch"/>
    <s v="30 Days"/>
    <x v="0"/>
    <n v="0.04"/>
    <n v="5699.24"/>
    <n v="3.14"/>
    <n v="14675"/>
    <n v="44987"/>
    <n v="9"/>
    <s v="Technology"/>
    <d v="2022-07-01T00:00:00"/>
    <s v="NexGen Nerds"/>
    <x v="0"/>
    <n v="6269.1639999999998"/>
    <n v="569.92399999999998"/>
    <n v="0.39"/>
  </r>
  <r>
    <s v="All Ages"/>
    <s v="Increase Sales"/>
    <s v="30 Days"/>
    <x v="3"/>
    <n v="0.12"/>
    <n v="6793.56"/>
    <n v="1.51"/>
    <n v="17637"/>
    <n v="53762"/>
    <n v="1"/>
    <s v="Fashion"/>
    <d v="2022-11-11T00:00:00"/>
    <s v="Vogue Visions"/>
    <x v="3"/>
    <n v="7472.9160000000002"/>
    <n v="679.35599999999999"/>
    <n v="0.39"/>
  </r>
  <r>
    <s v="Men 35-44"/>
    <s v="Increase Sales"/>
    <s v="45 Days"/>
    <x v="3"/>
    <n v="7.0000000000000007E-2"/>
    <n v="9189.93"/>
    <n v="0.5"/>
    <n v="24143"/>
    <n v="73033"/>
    <n v="2"/>
    <s v="Fashion"/>
    <d v="2022-06-13T00:00:00"/>
    <s v="Vogue Visions"/>
    <x v="9"/>
    <n v="10108.923000000001"/>
    <n v="918.99300000000005"/>
    <n v="0.38"/>
  </r>
  <r>
    <s v="All Ages"/>
    <s v="Market Expansion"/>
    <s v="30 Days"/>
    <x v="3"/>
    <n v="0.09"/>
    <n v="6107.23"/>
    <n v="4.74"/>
    <n v="15789"/>
    <n v="48287"/>
    <n v="4"/>
    <s v="Fashion"/>
    <d v="2022-12-09T00:00:00"/>
    <s v="Runway Rebels"/>
    <x v="7"/>
    <n v="6717.9530000000004"/>
    <n v="610.72299999999996"/>
    <n v="0.39"/>
  </r>
  <r>
    <s v="Men 25-34"/>
    <s v="Market Expansion"/>
    <s v="15 Days"/>
    <x v="1"/>
    <n v="0.04"/>
    <n v="1933.51"/>
    <n v="1.56"/>
    <n v="4744"/>
    <n v="15571"/>
    <n v="5"/>
    <s v="Fashion"/>
    <d v="2022-02-13T00:00:00"/>
    <s v="Glam Garments"/>
    <x v="6"/>
    <n v="2126.8609999999999"/>
    <n v="193.351"/>
    <n v="0.41"/>
  </r>
  <r>
    <s v="Men 45-60"/>
    <s v="Product Launch"/>
    <s v="45 Days"/>
    <x v="0"/>
    <n v="7.0000000000000007E-2"/>
    <n v="9773.8700000000008"/>
    <n v="6.73"/>
    <n v="25745"/>
    <n v="77777"/>
    <n v="2"/>
    <s v="Fashion"/>
    <d v="2022-11-28T00:00:00"/>
    <s v="Mode Maven"/>
    <x v="3"/>
    <n v="10751.257"/>
    <n v="977.38699999999994"/>
    <n v="0.38"/>
  </r>
  <r>
    <s v="Women 35-44"/>
    <s v="Increase Sales"/>
    <s v="15 Days"/>
    <x v="1"/>
    <n v="0.09"/>
    <n v="3265.33"/>
    <n v="7.57"/>
    <n v="8065"/>
    <n v="25407"/>
    <n v="4"/>
    <s v="Fashion"/>
    <d v="2022-09-18T00:00:00"/>
    <s v="Chic Couture"/>
    <x v="8"/>
    <n v="3591.8629999999998"/>
    <n v="326.53300000000002"/>
    <n v="0.4"/>
  </r>
  <r>
    <s v="Women 45-60"/>
    <s v="Market Expansion"/>
    <s v="45 Days"/>
    <x v="0"/>
    <n v="0.08"/>
    <n v="8262.02"/>
    <n v="1.63"/>
    <n v="21632"/>
    <n v="65595"/>
    <n v="5"/>
    <s v="Home"/>
    <d v="2022-01-12T00:00:00"/>
    <s v="Space Spruce"/>
    <x v="1"/>
    <n v="9088.2219999999998"/>
    <n v="826.20200000000102"/>
    <n v="0.38"/>
  </r>
  <r>
    <s v="Men 35-44"/>
    <s v="Brand Awareness"/>
    <s v="45 Days"/>
    <x v="2"/>
    <n v="0.06"/>
    <n v="10941.14"/>
    <n v="0.71856399995380404"/>
    <n v="16981"/>
    <n v="56274"/>
    <n v="1"/>
    <s v="Food"/>
    <d v="2022-06-14T00:00:00"/>
    <s v="Dine Divine"/>
    <x v="9"/>
    <n v="12035.254000000001"/>
    <n v="1094.114"/>
    <n v="0.64"/>
  </r>
  <r>
    <s v="Men 35-44"/>
    <s v="Increase Sales"/>
    <s v="30 Days"/>
    <x v="2"/>
    <n v="0.14000000000000001"/>
    <n v="6628.08"/>
    <n v="0.185897154216904"/>
    <n v="10092"/>
    <n v="33843"/>
    <n v="1"/>
    <s v="Food"/>
    <d v="2022-05-24T00:00:00"/>
    <s v="Epicurean Edge"/>
    <x v="4"/>
    <n v="7290.8879999999999"/>
    <n v="662.80799999999999"/>
    <n v="0.66"/>
  </r>
  <r>
    <s v="Women 25-34"/>
    <s v="Brand Awareness"/>
    <s v="45 Days"/>
    <x v="3"/>
    <n v="0.08"/>
    <n v="8874.09"/>
    <n v="6.9"/>
    <n v="23284"/>
    <n v="70488"/>
    <n v="10"/>
    <s v="Technology"/>
    <d v="2022-06-08T00:00:00"/>
    <s v="Cyber Circuit"/>
    <x v="9"/>
    <n v="9761.4989999999998"/>
    <n v="887.40900000000101"/>
    <n v="0.38"/>
  </r>
  <r>
    <s v="Men 18-24"/>
    <s v="Product Launch"/>
    <s v="30 Days"/>
    <x v="3"/>
    <n v="0.05"/>
    <n v="5215.6400000000003"/>
    <n v="0.28999999999999998"/>
    <n v="13367"/>
    <n v="41113"/>
    <n v="2"/>
    <s v="Home"/>
    <d v="2022-08-28T00:00:00"/>
    <s v="Decor Dreams"/>
    <x v="2"/>
    <n v="5737.2039999999997"/>
    <n v="521.56399999999996"/>
    <n v="0.39"/>
  </r>
  <r>
    <s v="Women 35-44"/>
    <s v="Brand Awareness"/>
    <s v="45 Days"/>
    <x v="3"/>
    <n v="0.15"/>
    <n v="9873.59"/>
    <n v="6.89"/>
    <n v="26018"/>
    <n v="78586"/>
    <n v="7"/>
    <s v="Health"/>
    <d v="2022-07-10T00:00:00"/>
    <s v="Pulse Point"/>
    <x v="0"/>
    <n v="10860.949000000001"/>
    <n v="987.35900000000004"/>
    <n v="0.38"/>
  </r>
  <r>
    <s v="Men 25-34"/>
    <s v="Product Launch"/>
    <s v="15 Days"/>
    <x v="3"/>
    <n v="0.06"/>
    <n v="940.86"/>
    <n v="1.1100000000000001"/>
    <n v="2758"/>
    <n v="9690"/>
    <n v="1"/>
    <s v="Health"/>
    <d v="2022-09-22T00:00:00"/>
    <s v="Elixir Essence"/>
    <x v="8"/>
    <n v="1034.9459999999999"/>
    <n v="94.086000000000098"/>
    <n v="0.34"/>
  </r>
  <r>
    <s v="Men 35-44"/>
    <s v="Brand Awareness"/>
    <s v="15 Days"/>
    <x v="1"/>
    <n v="0.06"/>
    <n v="3932.17"/>
    <n v="6.06"/>
    <n v="9855"/>
    <n v="30711"/>
    <n v="10"/>
    <s v="Technology"/>
    <d v="2022-07-14T00:00:00"/>
    <s v="Pixel Pioneers"/>
    <x v="0"/>
    <n v="4325.3869999999997"/>
    <n v="393.21699999999998"/>
    <n v="0.4"/>
  </r>
  <r>
    <s v="Men 25-34"/>
    <s v="Increase Sales"/>
    <s v="45 Days"/>
    <x v="0"/>
    <n v="0.12"/>
    <n v="9883.9699999999993"/>
    <n v="4"/>
    <n v="26042"/>
    <n v="78656"/>
    <n v="3"/>
    <s v="Technology"/>
    <d v="2022-02-26T00:00:00"/>
    <s v="Silicon Saga"/>
    <x v="6"/>
    <n v="10872.367"/>
    <n v="988.39700000000005"/>
    <n v="0.38"/>
  </r>
  <r>
    <s v="Men 45-60"/>
    <s v="Market Expansion"/>
    <s v="15 Days"/>
    <x v="1"/>
    <n v="7.0000000000000007E-2"/>
    <n v="2991.76"/>
    <n v="4.49"/>
    <n v="7354"/>
    <n v="23303"/>
    <n v="6"/>
    <s v="Technology"/>
    <d v="2022-03-16T00:00:00"/>
    <s v="Pixel Pioneers"/>
    <x v="11"/>
    <n v="3290.9360000000001"/>
    <n v="299.17599999999999"/>
    <n v="0.41"/>
  </r>
  <r>
    <s v="Women 45-60"/>
    <s v="Brand Awareness"/>
    <s v="60 Days"/>
    <x v="2"/>
    <n v="0.03"/>
    <n v="14003.6"/>
    <n v="1.37814140289647"/>
    <n v="21540"/>
    <n v="71120"/>
    <n v="1"/>
    <s v="Fashion"/>
    <d v="2022-02-18T00:00:00"/>
    <s v="Silk &amp; Style"/>
    <x v="6"/>
    <n v="15403.96"/>
    <n v="1400.36"/>
    <n v="0.65"/>
  </r>
  <r>
    <s v="Men 18-24"/>
    <s v="Increase Sales"/>
    <s v="15 Days"/>
    <x v="3"/>
    <n v="0.05"/>
    <n v="500"/>
    <n v="4.47"/>
    <n v="705"/>
    <n v="3607"/>
    <n v="3"/>
    <s v="Fashion"/>
    <d v="2022-07-18T00:00:00"/>
    <s v="Chic Couture"/>
    <x v="0"/>
    <n v="550"/>
    <n v="50"/>
    <n v="0.71"/>
  </r>
  <r>
    <s v="Men 18-24"/>
    <s v="Product Launch"/>
    <s v="60 Days"/>
    <x v="2"/>
    <n v="0.1"/>
    <n v="12780.55"/>
    <n v="0.10903583083876101"/>
    <n v="19864"/>
    <n v="65662"/>
    <n v="1"/>
    <s v="Home"/>
    <d v="2022-01-16T00:00:00"/>
    <s v="Living Luxe"/>
    <x v="1"/>
    <n v="14058.605"/>
    <n v="1278.0550000000001"/>
    <n v="0.64"/>
  </r>
  <r>
    <s v="Men 18-24"/>
    <s v="Brand Awareness"/>
    <s v="45 Days"/>
    <x v="2"/>
    <n v="0.02"/>
    <n v="9305.81"/>
    <n v="0.99204731336905805"/>
    <n v="14360"/>
    <n v="47741"/>
    <n v="1"/>
    <s v="Home"/>
    <d v="2022-05-18T00:00:00"/>
    <s v="Hearth Harmony"/>
    <x v="4"/>
    <n v="10236.391"/>
    <n v="930.58100000000002"/>
    <n v="0.65"/>
  </r>
  <r>
    <s v="Men 18-24"/>
    <s v="Increase Sales"/>
    <s v="30 Days"/>
    <x v="1"/>
    <n v="0.09"/>
    <n v="7530.23"/>
    <n v="4.87"/>
    <n v="19627"/>
    <n v="59655"/>
    <n v="8"/>
    <s v="Fashion"/>
    <d v="2022-04-02T00:00:00"/>
    <s v="Glam Garments"/>
    <x v="10"/>
    <n v="8283.2530000000006"/>
    <n v="753.02300000000105"/>
    <n v="0.38"/>
  </r>
  <r>
    <s v="Women 25-34"/>
    <s v="Product Launch"/>
    <s v="45 Days"/>
    <x v="1"/>
    <n v="7.0000000000000007E-2"/>
    <n v="9534.84"/>
    <n v="0.05"/>
    <n v="25076"/>
    <n v="75797"/>
    <n v="8"/>
    <s v="Health"/>
    <d v="2022-02-10T00:00:00"/>
    <s v="Well Wish"/>
    <x v="6"/>
    <n v="10488.324000000001"/>
    <n v="953.48400000000004"/>
    <n v="0.38"/>
  </r>
  <r>
    <s v="Men 18-24"/>
    <s v="Market Expansion"/>
    <s v="15 Days"/>
    <x v="2"/>
    <n v="0.14000000000000001"/>
    <n v="500"/>
    <n v="0.169809900486595"/>
    <n v="794"/>
    <n v="3567"/>
    <n v="1"/>
    <s v="Health"/>
    <d v="2022-12-08T00:00:00"/>
    <s v="Balance Beam"/>
    <x v="7"/>
    <n v="550"/>
    <n v="50"/>
    <n v="0.63"/>
  </r>
  <r>
    <s v="Men 35-44"/>
    <s v="Product Launch"/>
    <s v="60 Days"/>
    <x v="0"/>
    <n v="0.06"/>
    <n v="12597.27"/>
    <n v="2.38"/>
    <n v="33339"/>
    <n v="100271"/>
    <n v="4"/>
    <s v="Home"/>
    <d v="2022-03-04T00:00:00"/>
    <s v="Domestic Dream"/>
    <x v="11"/>
    <n v="13856.996999999999"/>
    <n v="1259.7270000000001"/>
    <n v="0.38"/>
  </r>
  <r>
    <s v="Men 25-34"/>
    <s v="Brand Awareness"/>
    <s v="15 Days"/>
    <x v="2"/>
    <n v="0.04"/>
    <n v="2530.63"/>
    <n v="0.42005606962473602"/>
    <n v="3632"/>
    <n v="12810"/>
    <n v="1"/>
    <s v="Health"/>
    <d v="2022-05-29T00:00:00"/>
    <s v="Pulse Point"/>
    <x v="4"/>
    <n v="2783.6930000000002"/>
    <n v="253.06299999999999"/>
    <n v="0.7"/>
  </r>
  <r>
    <s v="Women 35-44"/>
    <s v="Product Launch"/>
    <s v="60 Days"/>
    <x v="0"/>
    <n v="0.03"/>
    <n v="12553.2"/>
    <n v="5.66"/>
    <n v="33223"/>
    <n v="99926"/>
    <n v="7"/>
    <s v="Technology"/>
    <d v="2022-08-12T00:00:00"/>
    <s v="Silicon Saga"/>
    <x v="2"/>
    <n v="13808.52"/>
    <n v="1255.32"/>
    <n v="0.38"/>
  </r>
  <r>
    <s v="Men 18-24"/>
    <s v="Market Expansion"/>
    <s v="30 Days"/>
    <x v="1"/>
    <n v="0.08"/>
    <n v="6579.81"/>
    <n v="7.09"/>
    <n v="17053"/>
    <n v="52032"/>
    <n v="6"/>
    <s v="Health"/>
    <d v="2022-02-10T00:00:00"/>
    <s v="Elixir Essence"/>
    <x v="6"/>
    <n v="7237.7910000000002"/>
    <n v="657.98099999999999"/>
    <n v="0.39"/>
  </r>
  <r>
    <s v="Men 18-24"/>
    <s v="Market Expansion"/>
    <s v="45 Days"/>
    <x v="3"/>
    <n v="0.08"/>
    <n v="10866.19"/>
    <n v="6.12"/>
    <n v="28712"/>
    <n v="86564"/>
    <n v="2"/>
    <s v="Home"/>
    <d v="2022-04-10T00:00:00"/>
    <s v="Hearth Harmony"/>
    <x v="10"/>
    <n v="11952.808999999999"/>
    <n v="1086.6189999999999"/>
    <n v="0.38"/>
  </r>
  <r>
    <s v="Women 25-34"/>
    <s v="Increase Sales"/>
    <s v="60 Days"/>
    <x v="1"/>
    <n v="7.0000000000000007E-2"/>
    <n v="13755.54"/>
    <n v="4.93"/>
    <n v="36151"/>
    <n v="108599"/>
    <n v="10"/>
    <s v="Technology"/>
    <d v="2022-07-19T00:00:00"/>
    <s v="NexGen Nerds"/>
    <x v="0"/>
    <n v="15131.093999999999"/>
    <n v="1375.5540000000001"/>
    <n v="0.38"/>
  </r>
  <r>
    <s v="Women 25-34"/>
    <s v="Brand Awareness"/>
    <s v="30 Days"/>
    <x v="1"/>
    <n v="0.09"/>
    <n v="7326.52"/>
    <n v="3.52"/>
    <n v="19078"/>
    <n v="58030"/>
    <n v="10"/>
    <s v="Technology"/>
    <d v="2022-02-10T00:00:00"/>
    <s v="Innovate Infinity"/>
    <x v="6"/>
    <n v="8059.1719999999996"/>
    <n v="732.65200000000095"/>
    <n v="0.38"/>
  </r>
  <r>
    <s v="Men 18-24"/>
    <s v="Market Expansion"/>
    <s v="60 Days"/>
    <x v="2"/>
    <n v="0.03"/>
    <n v="15000"/>
    <n v="0.34319474624659302"/>
    <n v="22889"/>
    <n v="75513"/>
    <n v="1"/>
    <s v="Health"/>
    <d v="2022-12-01T00:00:00"/>
    <s v="Fitness Front"/>
    <x v="7"/>
    <n v="16500"/>
    <n v="1500"/>
    <n v="0.66"/>
  </r>
  <r>
    <s v="Women 35-44"/>
    <s v="Increase Sales"/>
    <s v="15 Days"/>
    <x v="1"/>
    <n v="0.09"/>
    <n v="3491.45"/>
    <n v="4.46"/>
    <n v="8664"/>
    <n v="27183"/>
    <n v="2"/>
    <s v="Fashion"/>
    <d v="2022-09-13T00:00:00"/>
    <s v="Trend Tailors"/>
    <x v="8"/>
    <n v="3840.5949999999998"/>
    <n v="349.14499999999998"/>
    <n v="0.4"/>
  </r>
  <r>
    <s v="Women 35-44"/>
    <s v="Market Expansion"/>
    <s v="30 Days"/>
    <x v="3"/>
    <n v="0.11"/>
    <n v="4803.43"/>
    <n v="0.61"/>
    <n v="12234"/>
    <n v="37757"/>
    <n v="4"/>
    <s v="Technology"/>
    <d v="2022-08-07T00:00:00"/>
    <s v="Pixel Pioneers"/>
    <x v="2"/>
    <n v="5283.7730000000001"/>
    <n v="480.34300000000002"/>
    <n v="0.39"/>
  </r>
  <r>
    <s v="Women 25-34"/>
    <s v="Market Expansion"/>
    <s v="15 Days"/>
    <x v="0"/>
    <n v="0.02"/>
    <n v="2771.27"/>
    <n v="3.58"/>
    <n v="6785"/>
    <n v="21617"/>
    <n v="10"/>
    <s v="Technology"/>
    <d v="2022-12-30T00:00:00"/>
    <s v="Quantum Quirks"/>
    <x v="7"/>
    <n v="3048.3969999999999"/>
    <n v="277.12700000000001"/>
    <n v="0.41"/>
  </r>
  <r>
    <s v="Men 25-34"/>
    <s v="Brand Awareness"/>
    <s v="45 Days"/>
    <x v="3"/>
    <n v="0.08"/>
    <n v="11263.66"/>
    <n v="6.35"/>
    <n v="29796"/>
    <n v="89777"/>
    <n v="8"/>
    <s v="Health"/>
    <d v="2022-08-16T00:00:00"/>
    <s v="Well Wish"/>
    <x v="2"/>
    <n v="12390.026"/>
    <n v="1126.366"/>
    <n v="0.38"/>
  </r>
  <r>
    <s v="Men 45-60"/>
    <s v="Increase Sales"/>
    <s v="15 Days"/>
    <x v="1"/>
    <n v="0.03"/>
    <n v="1782.95"/>
    <n v="1.81"/>
    <n v="4401"/>
    <n v="14554"/>
    <n v="7"/>
    <s v="Home"/>
    <d v="2022-08-05T00:00:00"/>
    <s v="Decor Dreams"/>
    <x v="2"/>
    <n v="1961.2449999999999"/>
    <n v="178.29499999999999"/>
    <n v="0.41"/>
  </r>
  <r>
    <s v="Women 18-24"/>
    <s v="Product Launch"/>
    <s v="45 Days"/>
    <x v="0"/>
    <n v="0.12"/>
    <n v="10284.86"/>
    <n v="5.45"/>
    <n v="27125"/>
    <n v="81864"/>
    <n v="4"/>
    <s v="Fashion"/>
    <d v="2022-01-30T00:00:00"/>
    <s v="Chic Couture"/>
    <x v="1"/>
    <n v="11313.346"/>
    <n v="1028.4860000000001"/>
    <n v="0.38"/>
  </r>
  <r>
    <s v="Women 18-24"/>
    <s v="Increase Sales"/>
    <s v="45 Days"/>
    <x v="2"/>
    <n v="0.14000000000000001"/>
    <n v="9927.57"/>
    <n v="0.53445431837360002"/>
    <n v="15359"/>
    <n v="50994"/>
    <n v="1"/>
    <s v="Fashion"/>
    <d v="2022-06-08T00:00:00"/>
    <s v="Attire Artistry"/>
    <x v="9"/>
    <n v="10920.326999999999"/>
    <n v="992.75700000000097"/>
    <n v="0.65"/>
  </r>
  <r>
    <s v="Men 25-34"/>
    <s v="Brand Awareness"/>
    <s v="15 Days"/>
    <x v="3"/>
    <n v="0.04"/>
    <n v="1050.8"/>
    <n v="7.82"/>
    <n v="2955"/>
    <n v="10273"/>
    <n v="2"/>
    <s v="Health"/>
    <d v="2022-11-16T00:00:00"/>
    <s v="Pulse Point"/>
    <x v="3"/>
    <n v="1155.8800000000001"/>
    <n v="105.08"/>
    <n v="0.36"/>
  </r>
  <r>
    <s v="Women 25-34"/>
    <s v="Increase Sales"/>
    <s v="45 Days"/>
    <x v="3"/>
    <n v="0.13"/>
    <n v="10126.91"/>
    <n v="3.29"/>
    <n v="26704"/>
    <n v="80618"/>
    <n v="7"/>
    <s v="Fashion"/>
    <d v="2022-10-16T00:00:00"/>
    <s v="Trend Tailors"/>
    <x v="5"/>
    <n v="11139.601000000001"/>
    <n v="1012.691"/>
    <n v="0.38"/>
  </r>
  <r>
    <s v="Women 45-60"/>
    <s v="Increase Sales"/>
    <s v="30 Days"/>
    <x v="2"/>
    <n v="0.15"/>
    <n v="5885.35"/>
    <n v="0.21449671640411999"/>
    <n v="8919"/>
    <n v="30026"/>
    <n v="1"/>
    <s v="Food"/>
    <d v="2022-01-23T00:00:00"/>
    <s v="Feast Flavors"/>
    <x v="1"/>
    <n v="6473.8850000000002"/>
    <n v="588.53499999999997"/>
    <n v="0.66"/>
  </r>
  <r>
    <s v="Men 45-60"/>
    <s v="Product Launch"/>
    <s v="60 Days"/>
    <x v="2"/>
    <n v="0.14000000000000001"/>
    <n v="12357.89"/>
    <n v="1.1690071044024499"/>
    <n v="19215"/>
    <n v="63549"/>
    <n v="1"/>
    <s v="Technology"/>
    <d v="2022-06-24T00:00:00"/>
    <s v="Cyber Circuit"/>
    <x v="9"/>
    <n v="13593.679"/>
    <n v="1235.789"/>
    <n v="0.64"/>
  </r>
  <r>
    <s v="All Ages"/>
    <s v="Brand Awareness"/>
    <s v="60 Days"/>
    <x v="2"/>
    <n v="0.1"/>
    <n v="11671.71"/>
    <n v="0.47189277608906499"/>
    <n v="18150"/>
    <n v="60082"/>
    <n v="1"/>
    <s v="Fashion"/>
    <d v="2022-07-26T00:00:00"/>
    <s v="Trend Tailors"/>
    <x v="0"/>
    <n v="12838.880999999999"/>
    <n v="1167.171"/>
    <n v="0.64"/>
  </r>
  <r>
    <s v="Men 18-24"/>
    <s v="Market Expansion"/>
    <s v="15 Days"/>
    <x v="1"/>
    <n v="0.08"/>
    <n v="2488.2600000000002"/>
    <n v="4.96"/>
    <n v="6082"/>
    <n v="19534"/>
    <n v="2"/>
    <s v="Home"/>
    <d v="2022-07-15T00:00:00"/>
    <s v="Hearth Harmony"/>
    <x v="0"/>
    <n v="2737.0859999999998"/>
    <n v="248.82599999999999"/>
    <n v="0.41"/>
  </r>
  <r>
    <s v="All Ages"/>
    <s v="Increase Sales"/>
    <s v="45 Days"/>
    <x v="0"/>
    <n v="0.13"/>
    <n v="11234.4"/>
    <n v="3.18"/>
    <n v="29722"/>
    <n v="89559"/>
    <n v="9"/>
    <s v="Fashion"/>
    <d v="2022-11-17T00:00:00"/>
    <s v="Attire Artistry"/>
    <x v="3"/>
    <n v="12357.84"/>
    <n v="1123.44"/>
    <n v="0.38"/>
  </r>
  <r>
    <s v="Women 35-44"/>
    <s v="Market Expansion"/>
    <s v="45 Days"/>
    <x v="2"/>
    <n v="0.13"/>
    <n v="8643.09"/>
    <n v="1.36026667652946"/>
    <n v="13315"/>
    <n v="44337"/>
    <n v="1"/>
    <s v="Home"/>
    <d v="2022-08-25T00:00:00"/>
    <s v="Space Spruce"/>
    <x v="2"/>
    <n v="9507.3989999999994"/>
    <n v="864.30900000000099"/>
    <n v="0.65"/>
  </r>
  <r>
    <s v="Men 18-24"/>
    <s v="Increase Sales"/>
    <s v="45 Days"/>
    <x v="0"/>
    <n v="0.09"/>
    <n v="8996.18"/>
    <n v="5.65"/>
    <n v="23617"/>
    <n v="71474"/>
    <n v="4"/>
    <s v="Home"/>
    <d v="2022-10-26T00:00:00"/>
    <s v="Decor Dreams"/>
    <x v="5"/>
    <n v="9895.7980000000007"/>
    <n v="899.61800000000005"/>
    <n v="0.38"/>
  </r>
  <r>
    <s v="Women 35-44"/>
    <s v="Product Launch"/>
    <s v="45 Days"/>
    <x v="0"/>
    <n v="0.1"/>
    <n v="7928.85"/>
    <n v="3.76"/>
    <n v="20716"/>
    <n v="62881"/>
    <n v="7"/>
    <s v="Home"/>
    <d v="2022-12-17T00:00:00"/>
    <s v="Living Luxe"/>
    <x v="7"/>
    <n v="8721.7350000000006"/>
    <n v="792.88499999999999"/>
    <n v="0.38"/>
  </r>
  <r>
    <s v="Men 25-34"/>
    <s v="Increase Sales"/>
    <s v="15 Days"/>
    <x v="0"/>
    <n v="0.08"/>
    <n v="4076.64"/>
    <n v="4.24"/>
    <n v="10250"/>
    <n v="31881"/>
    <n v="4"/>
    <s v="Health"/>
    <d v="2022-11-12T00:00:00"/>
    <s v="Vigor Valley"/>
    <x v="3"/>
    <n v="4484.3040000000001"/>
    <n v="407.66399999999999"/>
    <n v="0.4"/>
  </r>
  <r>
    <s v="Men 45-60"/>
    <s v="Brand Awareness"/>
    <s v="60 Days"/>
    <x v="1"/>
    <n v="7.0000000000000007E-2"/>
    <n v="11814.15"/>
    <n v="5.96"/>
    <n v="31287"/>
    <n v="94193"/>
    <n v="4"/>
    <s v="Technology"/>
    <d v="2022-09-24T00:00:00"/>
    <s v="Pixel Pioneers"/>
    <x v="8"/>
    <n v="12995.565000000001"/>
    <n v="1181.415"/>
    <n v="0.38"/>
  </r>
  <r>
    <s v="Women 25-34"/>
    <s v="Increase Sales"/>
    <s v="30 Days"/>
    <x v="0"/>
    <n v="0.02"/>
    <n v="6849.5"/>
    <n v="7.28"/>
    <n v="17789"/>
    <n v="54211"/>
    <n v="4"/>
    <s v="Health"/>
    <d v="2022-04-08T00:00:00"/>
    <s v="Balance Beam"/>
    <x v="10"/>
    <n v="7534.45"/>
    <n v="684.95"/>
    <n v="0.39"/>
  </r>
  <r>
    <s v="All Ages"/>
    <s v="Brand Awareness"/>
    <s v="45 Days"/>
    <x v="0"/>
    <n v="0.13"/>
    <n v="11344.25"/>
    <n v="5.32"/>
    <n v="30013"/>
    <n v="90420"/>
    <n v="8"/>
    <s v="Home"/>
    <d v="2022-03-30T00:00:00"/>
    <s v="Nest Neat"/>
    <x v="11"/>
    <n v="12478.674999999999"/>
    <n v="1134.425"/>
    <n v="0.38"/>
  </r>
  <r>
    <s v="Men 18-24"/>
    <s v="Increase Sales"/>
    <s v="60 Days"/>
    <x v="2"/>
    <n v="0.05"/>
    <n v="13516.47"/>
    <n v="0.53087937310019895"/>
    <n v="20921"/>
    <n v="69103"/>
    <n v="1"/>
    <s v="Food"/>
    <d v="2022-04-17T00:00:00"/>
    <s v="Gourmet Grove"/>
    <x v="10"/>
    <n v="14868.117"/>
    <n v="1351.6469999999999"/>
    <n v="0.65"/>
  </r>
  <r>
    <s v="Men 45-60"/>
    <s v="Product Launch"/>
    <s v="15 Days"/>
    <x v="3"/>
    <n v="0.08"/>
    <n v="823.07"/>
    <n v="3.02"/>
    <n v="2553"/>
    <n v="9081"/>
    <n v="1"/>
    <s v="Food"/>
    <d v="2022-09-12T00:00:00"/>
    <s v="Feast Flavors"/>
    <x v="8"/>
    <n v="905.37699999999995"/>
    <n v="82.307000000000102"/>
    <n v="0.32"/>
  </r>
  <r>
    <s v="Men 18-24"/>
    <s v="Product Launch"/>
    <s v="60 Days"/>
    <x v="3"/>
    <n v="7.0000000000000007E-2"/>
    <n v="11501.51"/>
    <n v="4.92"/>
    <n v="30443"/>
    <n v="91693"/>
    <n v="8"/>
    <s v="Home"/>
    <d v="2022-12-02T00:00:00"/>
    <s v="Cozy Corners"/>
    <x v="7"/>
    <n v="12651.661"/>
    <n v="1150.1510000000001"/>
    <n v="0.38"/>
  </r>
  <r>
    <s v="Men 45-60"/>
    <s v="Market Expansion"/>
    <s v="30 Days"/>
    <x v="0"/>
    <n v="0.04"/>
    <n v="6077.34"/>
    <n v="0.31"/>
    <n v="15711"/>
    <n v="48057"/>
    <n v="8"/>
    <s v="Health"/>
    <d v="2022-05-09T00:00:00"/>
    <s v="Fitness Front"/>
    <x v="4"/>
    <n v="6685.0739999999996"/>
    <n v="607.73400000000004"/>
    <n v="0.39"/>
  </r>
  <r>
    <s v="Men 18-24"/>
    <s v="Product Launch"/>
    <s v="15 Days"/>
    <x v="3"/>
    <n v="0.11"/>
    <n v="523.05999999999995"/>
    <n v="4.72"/>
    <n v="2117"/>
    <n v="7789"/>
    <n v="6"/>
    <s v="Fashion"/>
    <d v="2022-07-11T00:00:00"/>
    <s v="Runway Rebels"/>
    <x v="0"/>
    <n v="575.36599999999999"/>
    <n v="52.305999999999997"/>
    <n v="0.25"/>
  </r>
  <r>
    <s v="Men 35-44"/>
    <s v="Brand Awareness"/>
    <s v="15 Days"/>
    <x v="3"/>
    <n v="0.01"/>
    <n v="1282.17"/>
    <n v="7.07"/>
    <n v="3376"/>
    <n v="11520"/>
    <n v="10"/>
    <s v="Home"/>
    <d v="2022-12-05T00:00:00"/>
    <s v="Furnish Fine"/>
    <x v="7"/>
    <n v="1410.3869999999999"/>
    <n v="128.21700000000001"/>
    <n v="0.38"/>
  </r>
  <r>
    <s v="Men 18-24"/>
    <s v="Increase Sales"/>
    <s v="30 Days"/>
    <x v="2"/>
    <n v="0.06"/>
    <n v="4687.74"/>
    <n v="1.20475655713647"/>
    <n v="7003"/>
    <n v="23786"/>
    <n v="1"/>
    <s v="Home"/>
    <d v="2022-07-30T00:00:00"/>
    <s v="Furnish Fine"/>
    <x v="0"/>
    <n v="5156.5140000000001"/>
    <n v="468.774"/>
    <n v="0.67"/>
  </r>
  <r>
    <s v="Women 18-24"/>
    <s v="Increase Sales"/>
    <s v="45 Days"/>
    <x v="0"/>
    <n v="0.03"/>
    <n v="9840.9699999999993"/>
    <n v="4.3499999999999996"/>
    <n v="25930"/>
    <n v="78324"/>
    <n v="4"/>
    <s v="Food"/>
    <d v="2022-08-31T00:00:00"/>
    <s v="Nosh Nirvana"/>
    <x v="2"/>
    <n v="10825.066999999999"/>
    <n v="984.097000000001"/>
    <n v="0.38"/>
  </r>
  <r>
    <s v="Men 45-60"/>
    <s v="Increase Sales"/>
    <s v="30 Days"/>
    <x v="3"/>
    <n v="0.05"/>
    <n v="5351.46"/>
    <n v="2.91"/>
    <n v="13728"/>
    <n v="42184"/>
    <n v="7"/>
    <s v="Food"/>
    <d v="2022-10-27T00:00:00"/>
    <s v="Savor Street"/>
    <x v="5"/>
    <n v="5886.6059999999998"/>
    <n v="535.14599999999996"/>
    <n v="0.39"/>
  </r>
  <r>
    <s v="All Ages"/>
    <s v="Brand Awareness"/>
    <s v="45 Days"/>
    <x v="3"/>
    <n v="0.09"/>
    <n v="9106.2199999999993"/>
    <n v="6.32"/>
    <n v="23906"/>
    <n v="72332"/>
    <n v="8"/>
    <s v="Home"/>
    <d v="2022-06-08T00:00:00"/>
    <s v="Dwell Delight"/>
    <x v="9"/>
    <n v="10016.842000000001"/>
    <n v="910.62200000000098"/>
    <n v="0.38"/>
  </r>
  <r>
    <s v="Women 25-34"/>
    <s v="Brand Awareness"/>
    <s v="45 Days"/>
    <x v="2"/>
    <n v="0.08"/>
    <n v="11358.75"/>
    <n v="0.105460885565359"/>
    <n v="17651"/>
    <n v="58456"/>
    <n v="1"/>
    <s v="Technology"/>
    <d v="2022-09-11T00:00:00"/>
    <s v="NexGen Nerds"/>
    <x v="8"/>
    <n v="12494.625"/>
    <n v="1135.875"/>
    <n v="0.64"/>
  </r>
  <r>
    <s v="Men 25-34"/>
    <s v="Brand Awareness"/>
    <s v="60 Days"/>
    <x v="1"/>
    <n v="0.12"/>
    <n v="12879.65"/>
    <n v="2.59"/>
    <n v="34077"/>
    <n v="102458"/>
    <n v="6"/>
    <s v="Food"/>
    <d v="2022-06-10T00:00:00"/>
    <s v="Feast Flavors"/>
    <x v="9"/>
    <n v="14167.615"/>
    <n v="1287.9649999999999"/>
    <n v="0.38"/>
  </r>
  <r>
    <s v="Men 25-34"/>
    <s v="Brand Awareness"/>
    <s v="30 Days"/>
    <x v="3"/>
    <n v="0.05"/>
    <n v="7313.87"/>
    <n v="2.4700000000000002"/>
    <n v="19045"/>
    <n v="57932"/>
    <n v="6"/>
    <s v="Fashion"/>
    <d v="2022-01-26T00:00:00"/>
    <s v="Chic Couture"/>
    <x v="1"/>
    <n v="8045.2569999999996"/>
    <n v="731.38699999999994"/>
    <n v="0.38"/>
  </r>
  <r>
    <s v="Women 25-34"/>
    <s v="Market Expansion"/>
    <s v="15 Days"/>
    <x v="1"/>
    <n v="0.08"/>
    <n v="500"/>
    <n v="0.18"/>
    <n v="1353"/>
    <n v="5528"/>
    <n v="9"/>
    <s v="Fashion"/>
    <d v="2022-05-27T00:00:00"/>
    <s v="Vogue Visions"/>
    <x v="4"/>
    <n v="550"/>
    <n v="50"/>
    <n v="0.37"/>
  </r>
  <r>
    <s v="All Ages"/>
    <s v="Brand Awareness"/>
    <s v="30 Days"/>
    <x v="1"/>
    <n v="0.03"/>
    <n v="5189.07"/>
    <n v="2.74"/>
    <n v="13296"/>
    <n v="40904"/>
    <n v="9"/>
    <s v="Fashion"/>
    <d v="2022-07-27T00:00:00"/>
    <s v="Fiber Fashion"/>
    <x v="0"/>
    <n v="5707.9769999999999"/>
    <n v="518.90700000000004"/>
    <n v="0.39"/>
  </r>
  <r>
    <s v="Women 18-24"/>
    <s v="Product Launch"/>
    <s v="45 Days"/>
    <x v="1"/>
    <n v="0.12"/>
    <n v="11084.84"/>
    <n v="4.2"/>
    <n v="29308"/>
    <n v="88330"/>
    <n v="3"/>
    <s v="Home"/>
    <d v="2022-09-08T00:00:00"/>
    <s v="Homely Haven"/>
    <x v="8"/>
    <n v="12193.324000000001"/>
    <n v="1108.4839999999999"/>
    <n v="0.38"/>
  </r>
  <r>
    <s v="Men 18-24"/>
    <s v="Increase Sales"/>
    <s v="30 Days"/>
    <x v="2"/>
    <n v="0.04"/>
    <n v="7612.2"/>
    <n v="0.57377871638102296"/>
    <n v="11656"/>
    <n v="38934"/>
    <n v="1"/>
    <s v="Home"/>
    <d v="2022-08-30T00:00:00"/>
    <s v="Nest Neat"/>
    <x v="2"/>
    <n v="8373.42"/>
    <n v="761.22"/>
    <n v="0.65"/>
  </r>
  <r>
    <s v="Women 18-24"/>
    <s v="Product Launch"/>
    <s v="45 Days"/>
    <x v="3"/>
    <n v="0.05"/>
    <n v="9407.19"/>
    <n v="5.88"/>
    <n v="24725"/>
    <n v="74756"/>
    <n v="1"/>
    <s v="Health"/>
    <d v="2022-12-09T00:00:00"/>
    <s v="Well Wish"/>
    <x v="7"/>
    <n v="10347.909"/>
    <n v="940.71900000000096"/>
    <n v="0.38"/>
  </r>
  <r>
    <s v="Men 25-34"/>
    <s v="Increase Sales"/>
    <s v="45 Days"/>
    <x v="1"/>
    <n v="0.04"/>
    <n v="7772.48"/>
    <n v="3.75"/>
    <n v="20295"/>
    <n v="61635"/>
    <n v="5"/>
    <s v="Fashion"/>
    <d v="2022-12-04T00:00:00"/>
    <s v="Runway Rebels"/>
    <x v="7"/>
    <n v="8549.7279999999992"/>
    <n v="777.24800000000096"/>
    <n v="0.38"/>
  </r>
  <r>
    <s v="All Ages"/>
    <s v="Market Expansion"/>
    <s v="60 Days"/>
    <x v="0"/>
    <n v="0.12"/>
    <n v="15000"/>
    <n v="0.2"/>
    <n v="38853"/>
    <n v="116605"/>
    <n v="4"/>
    <s v="Food"/>
    <d v="2022-05-11T00:00:00"/>
    <s v="Gourmet Grove"/>
    <x v="4"/>
    <n v="16500"/>
    <n v="1500"/>
    <n v="0.39"/>
  </r>
  <r>
    <s v="Men 25-34"/>
    <s v="Product Launch"/>
    <s v="45 Days"/>
    <x v="2"/>
    <n v="0.14000000000000001"/>
    <n v="8994.11"/>
    <n v="0.62740289548205297"/>
    <n v="13867"/>
    <n v="46135"/>
    <n v="1"/>
    <s v="Home"/>
    <d v="2022-07-28T00:00:00"/>
    <s v="Furnish Fine"/>
    <x v="0"/>
    <n v="9893.5210000000006"/>
    <n v="899.41099999999994"/>
    <n v="0.65"/>
  </r>
  <r>
    <s v="Men 18-24"/>
    <s v="Brand Awareness"/>
    <s v="30 Days"/>
    <x v="1"/>
    <n v="0.13"/>
    <n v="4376.0600000000004"/>
    <n v="5.97"/>
    <n v="11070"/>
    <n v="34310"/>
    <n v="6"/>
    <s v="Fashion"/>
    <d v="2022-10-13T00:00:00"/>
    <s v="Silk &amp; Style"/>
    <x v="5"/>
    <n v="4813.6660000000002"/>
    <n v="437.60599999999999"/>
    <n v="0.4"/>
  </r>
  <r>
    <s v="Men 18-24"/>
    <s v="Increase Sales"/>
    <s v="15 Days"/>
    <x v="1"/>
    <n v="0.05"/>
    <n v="3602.35"/>
    <n v="0.8"/>
    <n v="8965"/>
    <n v="28075"/>
    <n v="2"/>
    <s v="Fashion"/>
    <d v="2022-10-17T00:00:00"/>
    <s v="Silk &amp; Style"/>
    <x v="5"/>
    <n v="3962.585"/>
    <n v="360.23500000000001"/>
    <n v="0.4"/>
  </r>
  <r>
    <s v="Men 45-60"/>
    <s v="Market Expansion"/>
    <s v="45 Days"/>
    <x v="1"/>
    <n v="0.13"/>
    <n v="11217.68"/>
    <n v="0.51"/>
    <n v="29675"/>
    <n v="89419"/>
    <n v="7"/>
    <s v="Fashion"/>
    <d v="2022-05-30T00:00:00"/>
    <s v="Fiber Fashion"/>
    <x v="4"/>
    <n v="12339.448"/>
    <n v="1121.768"/>
    <n v="0.38"/>
  </r>
  <r>
    <s v="Men 35-44"/>
    <s v="Market Expansion"/>
    <s v="30 Days"/>
    <x v="0"/>
    <n v="0.06"/>
    <n v="7564.47"/>
    <n v="5.97"/>
    <n v="19721"/>
    <n v="59933"/>
    <n v="10"/>
    <s v="Fashion"/>
    <d v="2022-03-13T00:00:00"/>
    <s v="Style Sphere"/>
    <x v="11"/>
    <n v="8320.9169999999995"/>
    <n v="756.44700000000103"/>
    <n v="0.38"/>
  </r>
  <r>
    <s v="Men 45-60"/>
    <s v="Market Expansion"/>
    <s v="60 Days"/>
    <x v="3"/>
    <n v="0.06"/>
    <n v="13520.28"/>
    <n v="4.4400000000000004"/>
    <n v="35630"/>
    <n v="107057"/>
    <n v="9"/>
    <s v="Home"/>
    <d v="2022-09-22T00:00:00"/>
    <s v="Furnish Fine"/>
    <x v="8"/>
    <n v="14872.308000000001"/>
    <n v="1352.028"/>
    <n v="0.38"/>
  </r>
  <r>
    <s v="All Ages"/>
    <s v="Increase Sales"/>
    <s v="15 Days"/>
    <x v="2"/>
    <n v="0.11"/>
    <n v="3075.05"/>
    <n v="1.0706961093839"/>
    <n v="4447"/>
    <n v="15464"/>
    <n v="1"/>
    <s v="Home"/>
    <d v="2022-07-02T00:00:00"/>
    <s v="Space Spruce"/>
    <x v="0"/>
    <n v="3382.5549999999998"/>
    <n v="307.505"/>
    <n v="0.69"/>
  </r>
  <r>
    <s v="Women 25-34"/>
    <s v="Product Launch"/>
    <s v="45 Days"/>
    <x v="2"/>
    <n v="0.14000000000000001"/>
    <n v="8777.74"/>
    <n v="0.76503828850803002"/>
    <n v="13527"/>
    <n v="45029"/>
    <n v="1"/>
    <s v="Technology"/>
    <d v="2022-07-08T00:00:00"/>
    <s v="Innovate Infinity"/>
    <x v="0"/>
    <n v="9655.5139999999992"/>
    <n v="877.77400000000102"/>
    <n v="0.65"/>
  </r>
  <r>
    <s v="Women 18-24"/>
    <s v="Brand Awareness"/>
    <s v="45 Days"/>
    <x v="1"/>
    <n v="0.1"/>
    <n v="10794.47"/>
    <n v="7.46"/>
    <n v="28514"/>
    <n v="85978"/>
    <n v="10"/>
    <s v="Food"/>
    <d v="2022-02-01T00:00:00"/>
    <s v="Feast Flavors"/>
    <x v="6"/>
    <n v="11873.916999999999"/>
    <n v="1079.4469999999999"/>
    <n v="0.38"/>
  </r>
  <r>
    <s v="Women 45-60"/>
    <s v="Market Expansion"/>
    <s v="15 Days"/>
    <x v="1"/>
    <n v="0.03"/>
    <n v="1846.37"/>
    <n v="1.27"/>
    <n v="4539"/>
    <n v="14966"/>
    <n v="5"/>
    <s v="Fashion"/>
    <d v="2022-07-08T00:00:00"/>
    <s v="Runway Rebels"/>
    <x v="0"/>
    <n v="2031.0070000000001"/>
    <n v="184.637"/>
    <n v="0.41"/>
  </r>
  <r>
    <s v="Women 45-60"/>
    <s v="Market Expansion"/>
    <s v="45 Days"/>
    <x v="2"/>
    <n v="0.04"/>
    <n v="10374.620000000001"/>
    <n v="1.1028706168445199"/>
    <n v="16075"/>
    <n v="53325"/>
    <n v="1"/>
    <s v="Health"/>
    <d v="2022-09-01T00:00:00"/>
    <s v="Balance Beam"/>
    <x v="8"/>
    <n v="11412.082"/>
    <n v="1037.462"/>
    <n v="0.65"/>
  </r>
  <r>
    <s v="Men 45-60"/>
    <s v="Brand Awareness"/>
    <s v="30 Days"/>
    <x v="2"/>
    <n v="0.05"/>
    <n v="4293.1899999999996"/>
    <n v="0.504067283549683"/>
    <n v="6371"/>
    <n v="21726"/>
    <n v="1"/>
    <s v="Food"/>
    <d v="2022-11-29T00:00:00"/>
    <s v="Nosh Nirvana"/>
    <x v="3"/>
    <n v="4722.509"/>
    <n v="429.31900000000002"/>
    <n v="0.67"/>
  </r>
  <r>
    <s v="Women 45-60"/>
    <s v="Product Launch"/>
    <s v="45 Days"/>
    <x v="1"/>
    <n v="7.0000000000000007E-2"/>
    <n v="8372.68"/>
    <n v="5.46"/>
    <n v="21933"/>
    <n v="66487"/>
    <n v="7"/>
    <s v="Technology"/>
    <d v="2022-05-15T00:00:00"/>
    <s v="Silicon Saga"/>
    <x v="4"/>
    <n v="9209.9480000000003"/>
    <n v="837.26800000000003"/>
    <n v="0.38"/>
  </r>
  <r>
    <s v="Women 35-44"/>
    <s v="Market Expansion"/>
    <s v="45 Days"/>
    <x v="1"/>
    <n v="0.14000000000000001"/>
    <n v="10770.8"/>
    <n v="0.28000000000000003"/>
    <n v="28450"/>
    <n v="85789"/>
    <n v="1"/>
    <s v="Health"/>
    <d v="2022-08-22T00:00:00"/>
    <s v="Pulse Point"/>
    <x v="2"/>
    <n v="11847.88"/>
    <n v="1077.08"/>
    <n v="0.38"/>
  </r>
  <r>
    <s v="Women 45-60"/>
    <s v="Increase Sales"/>
    <s v="15 Days"/>
    <x v="3"/>
    <n v="0.11"/>
    <n v="1983.26"/>
    <n v="1.91"/>
    <n v="4863"/>
    <n v="15925"/>
    <n v="5"/>
    <s v="Fashion"/>
    <d v="2022-09-19T00:00:00"/>
    <s v="Style Sphere"/>
    <x v="8"/>
    <n v="2181.5859999999998"/>
    <n v="198.32599999999999"/>
    <n v="0.41"/>
  </r>
  <r>
    <s v="Men 18-24"/>
    <s v="Market Expansion"/>
    <s v="15 Days"/>
    <x v="2"/>
    <n v="0.1"/>
    <n v="671.05"/>
    <n v="0.95808533327173895"/>
    <n v="1366"/>
    <n v="5429"/>
    <n v="1"/>
    <s v="Fashion"/>
    <d v="2022-12-11T00:00:00"/>
    <s v="Glam Garments"/>
    <x v="7"/>
    <n v="738.15499999999997"/>
    <n v="67.105000000000004"/>
    <n v="0.49"/>
  </r>
  <r>
    <s v="Men 35-44"/>
    <s v="Market Expansion"/>
    <s v="45 Days"/>
    <x v="0"/>
    <n v="0.02"/>
    <n v="10458.469999999999"/>
    <n v="4.4000000000000004"/>
    <n v="27601"/>
    <n v="83274"/>
    <n v="1"/>
    <s v="Fashion"/>
    <d v="2022-09-02T00:00:00"/>
    <s v="Glam Garments"/>
    <x v="8"/>
    <n v="11504.316999999999"/>
    <n v="1045.847"/>
    <n v="0.38"/>
  </r>
  <r>
    <s v="Men 25-34"/>
    <s v="Brand Awareness"/>
    <s v="60 Days"/>
    <x v="0"/>
    <n v="7.0000000000000007E-2"/>
    <n v="14806.38"/>
    <n v="2.2400000000000002"/>
    <n v="38131"/>
    <n v="114464"/>
    <n v="7"/>
    <s v="Food"/>
    <d v="2022-08-19T00:00:00"/>
    <s v="Feast Flavors"/>
    <x v="2"/>
    <n v="16287.018"/>
    <n v="1480.6379999999999"/>
    <n v="0.39"/>
  </r>
  <r>
    <s v="Women 18-24"/>
    <s v="Product Launch"/>
    <s v="15 Days"/>
    <x v="0"/>
    <n v="0.12"/>
    <n v="666.87"/>
    <n v="2.12"/>
    <n v="2319"/>
    <n v="8389"/>
    <n v="6"/>
    <s v="Technology"/>
    <d v="2022-11-16T00:00:00"/>
    <s v="Code Crafters"/>
    <x v="3"/>
    <n v="733.55700000000002"/>
    <n v="66.686999999999998"/>
    <n v="0.28999999999999998"/>
  </r>
  <r>
    <s v="Women 35-44"/>
    <s v="Increase Sales"/>
    <s v="45 Days"/>
    <x v="3"/>
    <n v="0.06"/>
    <n v="10122.5"/>
    <n v="3.73"/>
    <n v="26690"/>
    <n v="80578"/>
    <n v="9"/>
    <s v="Home"/>
    <d v="2022-06-22T00:00:00"/>
    <s v="Living Luxe"/>
    <x v="9"/>
    <n v="11134.75"/>
    <n v="1012.25"/>
    <n v="0.38"/>
  </r>
  <r>
    <s v="All Ages"/>
    <s v="Brand Awareness"/>
    <s v="45 Days"/>
    <x v="0"/>
    <n v="0.06"/>
    <n v="8524.24"/>
    <n v="0.57999999999999996"/>
    <n v="22355"/>
    <n v="67735"/>
    <n v="2"/>
    <s v="Health"/>
    <d v="2022-09-27T00:00:00"/>
    <s v="Elixir Essence"/>
    <x v="8"/>
    <n v="9376.6640000000007"/>
    <n v="852.42399999999998"/>
    <n v="0.38"/>
  </r>
  <r>
    <s v="All Ages"/>
    <s v="Increase Sales"/>
    <s v="30 Days"/>
    <x v="0"/>
    <n v="0.03"/>
    <n v="4428.46"/>
    <n v="4.58"/>
    <n v="11214"/>
    <n v="34737"/>
    <n v="8"/>
    <s v="Food"/>
    <d v="2022-09-20T00:00:00"/>
    <s v="Dine Divine"/>
    <x v="8"/>
    <n v="4871.3059999999996"/>
    <n v="442.846"/>
    <n v="0.39"/>
  </r>
  <r>
    <s v="Women 45-60"/>
    <s v="Product Launch"/>
    <s v="30 Days"/>
    <x v="3"/>
    <n v="0.13"/>
    <n v="7750.29"/>
    <n v="4.08"/>
    <n v="20232"/>
    <n v="61448"/>
    <n v="2"/>
    <s v="Food"/>
    <d v="2022-02-07T00:00:00"/>
    <s v="Culinary Quest"/>
    <x v="6"/>
    <n v="8525.3189999999995"/>
    <n v="775.02900000000102"/>
    <n v="0.38"/>
  </r>
  <r>
    <s v="Men 45-60"/>
    <s v="Market Expansion"/>
    <s v="45 Days"/>
    <x v="1"/>
    <n v="0.04"/>
    <n v="9792.44"/>
    <n v="0.18"/>
    <n v="25795"/>
    <n v="77926"/>
    <n v="7"/>
    <s v="Home"/>
    <d v="2022-11-18T00:00:00"/>
    <s v="Living Luxe"/>
    <x v="3"/>
    <n v="10771.683999999999"/>
    <n v="979.24400000000003"/>
    <n v="0.38"/>
  </r>
  <r>
    <s v="Women 25-34"/>
    <s v="Brand Awareness"/>
    <s v="45 Days"/>
    <x v="2"/>
    <n v="0.06"/>
    <n v="9223.5300000000007"/>
    <n v="0.153722646756286"/>
    <n v="14229"/>
    <n v="47314"/>
    <n v="1"/>
    <s v="Fashion"/>
    <d v="2022-10-20T00:00:00"/>
    <s v="Glam Garments"/>
    <x v="5"/>
    <n v="10145.883"/>
    <n v="922.35300000000097"/>
    <n v="0.65"/>
  </r>
  <r>
    <s v="Men 18-24"/>
    <s v="Brand Awareness"/>
    <s v="30 Days"/>
    <x v="1"/>
    <n v="0.02"/>
    <n v="7617.29"/>
    <n v="7.28"/>
    <n v="19861"/>
    <n v="60350"/>
    <n v="4"/>
    <s v="Technology"/>
    <d v="2022-09-12T00:00:00"/>
    <s v="Code Crafters"/>
    <x v="8"/>
    <n v="8379.0190000000002"/>
    <n v="761.72900000000004"/>
    <n v="0.38"/>
  </r>
  <r>
    <s v="Women 45-60"/>
    <s v="Increase Sales"/>
    <s v="30 Days"/>
    <x v="3"/>
    <n v="0.05"/>
    <n v="6673.69"/>
    <n v="0.03"/>
    <n v="17305"/>
    <n v="52778"/>
    <n v="2"/>
    <s v="Food"/>
    <d v="2022-02-24T00:00:00"/>
    <s v="Gourmet Grove"/>
    <x v="6"/>
    <n v="7341.0590000000002"/>
    <n v="667.36900000000003"/>
    <n v="0.39"/>
  </r>
  <r>
    <s v="Women 25-34"/>
    <s v="Market Expansion"/>
    <s v="60 Days"/>
    <x v="0"/>
    <n v="0.12"/>
    <n v="15000"/>
    <n v="3.45"/>
    <n v="38929"/>
    <n v="116828"/>
    <n v="4"/>
    <s v="Fashion"/>
    <d v="2022-07-27T00:00:00"/>
    <s v="Vogue Visions"/>
    <x v="0"/>
    <n v="16500"/>
    <n v="1500"/>
    <n v="0.39"/>
  </r>
  <r>
    <s v="Men 25-34"/>
    <s v="Product Launch"/>
    <s v="45 Days"/>
    <x v="3"/>
    <n v="0.14000000000000001"/>
    <n v="9143.2099999999991"/>
    <n v="4.92"/>
    <n v="24013"/>
    <n v="72647"/>
    <n v="4"/>
    <s v="Fashion"/>
    <d v="2022-08-24T00:00:00"/>
    <s v="Style Sphere"/>
    <x v="2"/>
    <n v="10057.530999999901"/>
    <n v="914.320999999999"/>
    <n v="0.38"/>
  </r>
  <r>
    <s v="Women 35-44"/>
    <s v="Product Launch"/>
    <s v="30 Days"/>
    <x v="3"/>
    <n v="0.09"/>
    <n v="6668.76"/>
    <n v="2.52"/>
    <n v="17293"/>
    <n v="52742"/>
    <n v="4"/>
    <s v="Home"/>
    <d v="2022-08-02T00:00:00"/>
    <s v="Furnish Fine"/>
    <x v="2"/>
    <n v="7335.6360000000004"/>
    <n v="666.87599999999998"/>
    <n v="0.39"/>
  </r>
  <r>
    <s v="Men 18-24"/>
    <s v="Brand Awareness"/>
    <s v="60 Days"/>
    <x v="1"/>
    <n v="0.1"/>
    <n v="11910.18"/>
    <n v="7.71"/>
    <n v="31536"/>
    <n v="94929"/>
    <n v="6"/>
    <s v="Fashion"/>
    <d v="2022-02-09T00:00:00"/>
    <s v="Style Sphere"/>
    <x v="6"/>
    <n v="13101.198"/>
    <n v="1191.018"/>
    <n v="0.38"/>
  </r>
  <r>
    <s v="Women 18-24"/>
    <s v="Increase Sales"/>
    <s v="45 Days"/>
    <x v="3"/>
    <n v="0.04"/>
    <n v="8807.3799999999992"/>
    <n v="4.1100000000000003"/>
    <n v="23110"/>
    <n v="69972"/>
    <n v="5"/>
    <s v="Home"/>
    <d v="2022-06-24T00:00:00"/>
    <s v="Furnish Fine"/>
    <x v="9"/>
    <n v="9688.1180000000004"/>
    <n v="880.73800000000097"/>
    <n v="0.38"/>
  </r>
  <r>
    <s v="Women 25-34"/>
    <s v="Increase Sales"/>
    <s v="45 Days"/>
    <x v="3"/>
    <n v="0.03"/>
    <n v="8311.86"/>
    <n v="0.23"/>
    <n v="21773"/>
    <n v="66014"/>
    <n v="4"/>
    <s v="Fashion"/>
    <d v="2022-08-05T00:00:00"/>
    <s v="Mode Maven"/>
    <x v="2"/>
    <n v="9143.0460000000003"/>
    <n v="831.18600000000094"/>
    <n v="0.38"/>
  </r>
  <r>
    <s v="Men 18-24"/>
    <s v="Market Expansion"/>
    <s v="30 Days"/>
    <x v="2"/>
    <n v="0.14000000000000001"/>
    <n v="4141.2299999999996"/>
    <n v="0.134060447752575"/>
    <n v="6124"/>
    <n v="20924"/>
    <n v="1"/>
    <s v="Food"/>
    <d v="2022-04-04T00:00:00"/>
    <s v="Dine Divine"/>
    <x v="10"/>
    <n v="4555.3530000000001"/>
    <n v="414.12299999999999"/>
    <n v="0.68"/>
  </r>
  <r>
    <s v="Women 25-34"/>
    <s v="Market Expansion"/>
    <s v="30 Days"/>
    <x v="2"/>
    <n v="0.13"/>
    <n v="4845.82"/>
    <n v="0.72571389050060797"/>
    <n v="7255"/>
    <n v="24607"/>
    <n v="1"/>
    <s v="Food"/>
    <d v="2022-06-30T00:00:00"/>
    <s v="Dine Divine"/>
    <x v="9"/>
    <n v="5330.402"/>
    <n v="484.58199999999999"/>
    <n v="0.67"/>
  </r>
  <r>
    <s v="Men 25-34"/>
    <s v="Increase Sales"/>
    <s v="15 Days"/>
    <x v="0"/>
    <n v="0.02"/>
    <n v="2511.5500000000002"/>
    <n v="6.86"/>
    <n v="6140"/>
    <n v="19707"/>
    <n v="9"/>
    <s v="Food"/>
    <d v="2022-06-16T00:00:00"/>
    <s v="Gastronomy Guild"/>
    <x v="9"/>
    <n v="2762.7049999999999"/>
    <n v="251.155"/>
    <n v="0.41"/>
  </r>
  <r>
    <s v="Women 18-24"/>
    <s v="Product Launch"/>
    <s v="15 Days"/>
    <x v="0"/>
    <n v="7.0000000000000007E-2"/>
    <n v="500"/>
    <n v="5.31"/>
    <n v="1629"/>
    <n v="6346"/>
    <n v="1"/>
    <s v="Health"/>
    <d v="2022-05-16T00:00:00"/>
    <s v="Vital Vigor"/>
    <x v="4"/>
    <n v="550"/>
    <n v="50"/>
    <n v="0.31"/>
  </r>
  <r>
    <s v="Women 18-24"/>
    <s v="Brand Awareness"/>
    <s v="15 Days"/>
    <x v="1"/>
    <n v="0.02"/>
    <n v="654.64"/>
    <n v="3.96"/>
    <n v="2299"/>
    <n v="8328"/>
    <n v="2"/>
    <s v="Fashion"/>
    <d v="2022-06-19T00:00:00"/>
    <s v="Mode Maven"/>
    <x v="9"/>
    <n v="720.10400000000004"/>
    <n v="65.463999999999999"/>
    <n v="0.28000000000000003"/>
  </r>
  <r>
    <s v="Men 18-24"/>
    <s v="Market Expansion"/>
    <s v="60 Days"/>
    <x v="1"/>
    <n v="0.11"/>
    <n v="12499.7"/>
    <n v="3.2"/>
    <n v="33082"/>
    <n v="99511"/>
    <n v="5"/>
    <s v="Home"/>
    <d v="2022-08-21T00:00:00"/>
    <s v="Cozy Corners"/>
    <x v="2"/>
    <n v="13749.67"/>
    <n v="1249.97"/>
    <n v="0.38"/>
  </r>
  <r>
    <s v="Men 35-44"/>
    <s v="Brand Awareness"/>
    <s v="30 Days"/>
    <x v="1"/>
    <n v="0.04"/>
    <n v="5151.24"/>
    <n v="4.9400000000000004"/>
    <n v="13195"/>
    <n v="40605"/>
    <n v="5"/>
    <s v="Home"/>
    <d v="2022-04-24T00:00:00"/>
    <s v="Furnish Fine"/>
    <x v="10"/>
    <n v="5666.3639999999996"/>
    <n v="515.12400000000002"/>
    <n v="0.39"/>
  </r>
  <r>
    <s v="Women 35-44"/>
    <s v="Market Expansion"/>
    <s v="45 Days"/>
    <x v="0"/>
    <n v="0.13"/>
    <n v="9930.89"/>
    <n v="7.38"/>
    <n v="26161"/>
    <n v="79010"/>
    <n v="9"/>
    <s v="Home"/>
    <d v="2022-05-29T00:00:00"/>
    <s v="Hearth Harmony"/>
    <x v="4"/>
    <n v="10923.978999999999"/>
    <n v="993.08899999999903"/>
    <n v="0.38"/>
  </r>
  <r>
    <s v="Women 35-44"/>
    <s v="Product Launch"/>
    <s v="60 Days"/>
    <x v="2"/>
    <n v="0.14000000000000001"/>
    <n v="14615.63"/>
    <n v="1.1475574327620399"/>
    <n v="22219"/>
    <n v="73330"/>
    <n v="1"/>
    <s v="Fashion"/>
    <d v="2022-11-23T00:00:00"/>
    <s v="Silk &amp; Style"/>
    <x v="3"/>
    <n v="16077.192999999999"/>
    <n v="1461.5630000000001"/>
    <n v="0.66"/>
  </r>
  <r>
    <s v="Women 25-34"/>
    <s v="Product Launch"/>
    <s v="15 Days"/>
    <x v="2"/>
    <n v="0.03"/>
    <n v="3859.46"/>
    <n v="1.3692040397129699"/>
    <n v="5670"/>
    <n v="19444"/>
    <n v="1"/>
    <s v="Food"/>
    <d v="2022-02-06T00:00:00"/>
    <s v="Gastronomy Guild"/>
    <x v="6"/>
    <n v="4245.4059999999999"/>
    <n v="385.945999999999"/>
    <n v="0.68"/>
  </r>
  <r>
    <s v="Women 45-60"/>
    <s v="Brand Awareness"/>
    <s v="60 Days"/>
    <x v="1"/>
    <n v="0.09"/>
    <n v="12019.87"/>
    <n v="5.49"/>
    <n v="31821"/>
    <n v="95775"/>
    <n v="7"/>
    <s v="Technology"/>
    <d v="2022-09-07T00:00:00"/>
    <s v="Giga Geeks"/>
    <x v="8"/>
    <n v="13221.857"/>
    <n v="1201.9870000000001"/>
    <n v="0.38"/>
  </r>
  <r>
    <s v="Women 35-44"/>
    <s v="Increase Sales"/>
    <s v="60 Days"/>
    <x v="0"/>
    <n v="0.13"/>
    <n v="13245.66"/>
    <n v="0.54"/>
    <n v="34982"/>
    <n v="105138"/>
    <n v="3"/>
    <s v="Fashion"/>
    <d v="2022-02-21T00:00:00"/>
    <s v="Attire Artistry"/>
    <x v="6"/>
    <n v="14570.226000000001"/>
    <n v="1324.566"/>
    <n v="0.38"/>
  </r>
  <r>
    <s v="Women 25-34"/>
    <s v="Market Expansion"/>
    <s v="45 Days"/>
    <x v="1"/>
    <n v="7.0000000000000007E-2"/>
    <n v="7773.9"/>
    <n v="6.1"/>
    <n v="20299"/>
    <n v="61646"/>
    <n v="8"/>
    <s v="Technology"/>
    <d v="2022-10-24T00:00:00"/>
    <s v="Gadget Giants"/>
    <x v="5"/>
    <n v="8551.2900000000009"/>
    <n v="777.39000000000101"/>
    <n v="0.38"/>
  </r>
  <r>
    <s v="Women 25-34"/>
    <s v="Increase Sales"/>
    <s v="45 Days"/>
    <x v="3"/>
    <n v="7.0000000000000007E-2"/>
    <n v="9334.08"/>
    <n v="1.77"/>
    <n v="24521"/>
    <n v="74153"/>
    <n v="5"/>
    <s v="Technology"/>
    <d v="2022-12-16T00:00:00"/>
    <s v="Gadget Giants"/>
    <x v="7"/>
    <n v="10267.487999999999"/>
    <n v="933.40800000000104"/>
    <n v="0.38"/>
  </r>
  <r>
    <s v="Women 35-44"/>
    <s v="Brand Awareness"/>
    <s v="45 Days"/>
    <x v="3"/>
    <n v="0.09"/>
    <n v="11356.14"/>
    <n v="4.21"/>
    <n v="30046"/>
    <n v="90518"/>
    <n v="4"/>
    <s v="Health"/>
    <d v="2022-08-30T00:00:00"/>
    <s v="Aura Align"/>
    <x v="2"/>
    <n v="12491.754000000001"/>
    <n v="1135.614"/>
    <n v="0.38"/>
  </r>
  <r>
    <s v="Men 18-24"/>
    <s v="Increase Sales"/>
    <s v="45 Days"/>
    <x v="3"/>
    <n v="0.11"/>
    <n v="8787"/>
    <n v="4.46"/>
    <n v="23058"/>
    <n v="69819"/>
    <n v="10"/>
    <s v="Fashion"/>
    <d v="2022-05-07T00:00:00"/>
    <s v="Mode Maven"/>
    <x v="4"/>
    <n v="9665.7000000000007"/>
    <n v="878.7"/>
    <n v="0.38"/>
  </r>
  <r>
    <s v="Women 18-24"/>
    <s v="Increase Sales"/>
    <s v="30 Days"/>
    <x v="2"/>
    <n v="0.04"/>
    <n v="7293.88"/>
    <n v="0.46474288554226101"/>
    <n v="11153"/>
    <n v="37300"/>
    <n v="1"/>
    <s v="Food"/>
    <d v="2022-03-26T00:00:00"/>
    <s v="Feast Flavors"/>
    <x v="11"/>
    <n v="8023.268"/>
    <n v="729.38800000000003"/>
    <n v="0.65"/>
  </r>
  <r>
    <s v="Women 25-34"/>
    <s v="Increase Sales"/>
    <s v="45 Days"/>
    <x v="1"/>
    <n v="0.01"/>
    <n v="7995.16"/>
    <n v="4.18"/>
    <n v="20900"/>
    <n v="63426"/>
    <n v="9"/>
    <s v="Home"/>
    <d v="2022-01-09T00:00:00"/>
    <s v="Nest Neat"/>
    <x v="1"/>
    <n v="8794.6759999999995"/>
    <n v="799.51600000000099"/>
    <n v="0.38"/>
  </r>
  <r>
    <s v="Women 45-60"/>
    <s v="Market Expansion"/>
    <s v="30 Days"/>
    <x v="0"/>
    <n v="0.03"/>
    <n v="6847.01"/>
    <n v="7.97"/>
    <n v="17782"/>
    <n v="54191"/>
    <n v="10"/>
    <s v="Food"/>
    <d v="2022-12-11T00:00:00"/>
    <s v="Feast Flavors"/>
    <x v="7"/>
    <n v="7531.7110000000002"/>
    <n v="684.70100000000002"/>
    <n v="0.39"/>
  </r>
  <r>
    <s v="Women 45-60"/>
    <s v="Increase Sales"/>
    <s v="45 Days"/>
    <x v="1"/>
    <n v="7.0000000000000007E-2"/>
    <n v="8347.56"/>
    <n v="1.46"/>
    <n v="21868"/>
    <n v="66294"/>
    <n v="2"/>
    <s v="Home"/>
    <d v="2022-07-09T00:00:00"/>
    <s v="Hearth Harmony"/>
    <x v="0"/>
    <n v="9182.3160000000007"/>
    <n v="834.75600000000099"/>
    <n v="0.38"/>
  </r>
  <r>
    <s v="Women 45-60"/>
    <s v="Brand Awareness"/>
    <s v="60 Days"/>
    <x v="2"/>
    <n v="7.0000000000000007E-2"/>
    <n v="15000"/>
    <n v="0.39145650743751997"/>
    <n v="22929"/>
    <n v="75641"/>
    <n v="1"/>
    <s v="Food"/>
    <d v="2022-11-17T00:00:00"/>
    <s v="Gourmet Grove"/>
    <x v="3"/>
    <n v="16500"/>
    <n v="1500"/>
    <n v="0.65"/>
  </r>
  <r>
    <s v="Women 45-60"/>
    <s v="Market Expansion"/>
    <s v="60 Days"/>
    <x v="3"/>
    <n v="0.12"/>
    <n v="13411.28"/>
    <n v="5.17"/>
    <n v="35371"/>
    <n v="106289"/>
    <n v="10"/>
    <s v="Home"/>
    <d v="2022-10-12T00:00:00"/>
    <s v="Dwell Delight"/>
    <x v="5"/>
    <n v="14752.407999999999"/>
    <n v="1341.1279999999999"/>
    <n v="0.38"/>
  </r>
  <r>
    <s v="All Ages"/>
    <s v="Increase Sales"/>
    <s v="45 Days"/>
    <x v="2"/>
    <n v="0.01"/>
    <n v="8530.7900000000009"/>
    <n v="0.29314551241896503"/>
    <n v="13140"/>
    <n v="43768"/>
    <n v="1"/>
    <s v="Technology"/>
    <d v="2022-11-26T00:00:00"/>
    <s v="Innovate Infinity"/>
    <x v="3"/>
    <n v="9383.8690000000006"/>
    <n v="853.07900000000097"/>
    <n v="0.65"/>
  </r>
  <r>
    <s v="Men 25-34"/>
    <s v="Market Expansion"/>
    <s v="30 Days"/>
    <x v="0"/>
    <n v="0.05"/>
    <n v="6899.57"/>
    <n v="5.96"/>
    <n v="17923"/>
    <n v="54608"/>
    <n v="3"/>
    <s v="Home"/>
    <d v="2022-09-21T00:00:00"/>
    <s v="Furnish Fine"/>
    <x v="8"/>
    <n v="7589.527"/>
    <n v="689.95699999999999"/>
    <n v="0.38"/>
  </r>
  <r>
    <s v="Men 25-34"/>
    <s v="Brand Awareness"/>
    <s v="45 Days"/>
    <x v="3"/>
    <n v="7.0000000000000007E-2"/>
    <n v="10567.4"/>
    <n v="2.79"/>
    <n v="27895"/>
    <n v="84144"/>
    <n v="5"/>
    <s v="Technology"/>
    <d v="2022-03-29T00:00:00"/>
    <s v="Giga Geeks"/>
    <x v="11"/>
    <n v="11624.14"/>
    <n v="1056.74"/>
    <n v="0.38"/>
  </r>
  <r>
    <s v="Men 18-24"/>
    <s v="Brand Awareness"/>
    <s v="15 Days"/>
    <x v="1"/>
    <n v="0.15"/>
    <n v="2803.2"/>
    <n v="0.36"/>
    <n v="6862"/>
    <n v="21845"/>
    <n v="5"/>
    <s v="Fashion"/>
    <d v="2022-08-01T00:00:00"/>
    <s v="Attire Artistry"/>
    <x v="2"/>
    <n v="3083.52"/>
    <n v="280.32"/>
    <n v="0.41"/>
  </r>
  <r>
    <s v="Men 18-24"/>
    <s v="Product Launch"/>
    <s v="15 Days"/>
    <x v="0"/>
    <n v="0.04"/>
    <n v="902.42"/>
    <n v="0.51"/>
    <n v="2688"/>
    <n v="9483"/>
    <n v="1"/>
    <s v="Home"/>
    <d v="2022-08-25T00:00:00"/>
    <s v="Living Luxe"/>
    <x v="2"/>
    <n v="992.66200000000003"/>
    <n v="90.242000000000004"/>
    <n v="0.34"/>
  </r>
  <r>
    <s v="Women 18-24"/>
    <s v="Increase Sales"/>
    <s v="15 Days"/>
    <x v="1"/>
    <n v="0.1"/>
    <n v="500"/>
    <n v="7.14"/>
    <n v="1123"/>
    <n v="4846"/>
    <n v="7"/>
    <s v="Technology"/>
    <d v="2022-12-02T00:00:00"/>
    <s v="Code Crafters"/>
    <x v="7"/>
    <n v="550"/>
    <n v="50"/>
    <n v="0.45"/>
  </r>
  <r>
    <s v="Women 25-34"/>
    <s v="Brand Awareness"/>
    <s v="45 Days"/>
    <x v="1"/>
    <n v="0.05"/>
    <n v="9672.7000000000007"/>
    <n v="2.66"/>
    <n v="25462"/>
    <n v="76940"/>
    <n v="10"/>
    <s v="Health"/>
    <d v="2022-12-01T00:00:00"/>
    <s v="Heal Hub"/>
    <x v="7"/>
    <n v="10639.97"/>
    <n v="967.27"/>
    <n v="0.38"/>
  </r>
  <r>
    <s v="Men 25-34"/>
    <s v="Market Expansion"/>
    <s v="30 Days"/>
    <x v="3"/>
    <n v="0.11"/>
    <n v="5413.94"/>
    <n v="7.86"/>
    <n v="13895"/>
    <n v="42678"/>
    <n v="8"/>
    <s v="Fashion"/>
    <d v="2022-07-01T00:00:00"/>
    <s v="Mode Maven"/>
    <x v="0"/>
    <n v="5955.3339999999998"/>
    <n v="541.39400000000001"/>
    <n v="0.39"/>
  </r>
  <r>
    <s v="Women 45-60"/>
    <s v="Product Launch"/>
    <s v="30 Days"/>
    <x v="0"/>
    <n v="0.04"/>
    <n v="5859.81"/>
    <n v="7.29"/>
    <n v="15115"/>
    <n v="46290"/>
    <n v="8"/>
    <s v="Health"/>
    <d v="2022-10-13T00:00:00"/>
    <s v="Elixir Essence"/>
    <x v="5"/>
    <n v="6445.7910000000002"/>
    <n v="585.98099999999999"/>
    <n v="0.39"/>
  </r>
  <r>
    <s v="Men 45-60"/>
    <s v="Brand Awareness"/>
    <s v="45 Days"/>
    <x v="0"/>
    <n v="0.08"/>
    <n v="10101.209999999999"/>
    <n v="3.39"/>
    <n v="26628"/>
    <n v="80393"/>
    <n v="7"/>
    <s v="Health"/>
    <d v="2022-02-07T00:00:00"/>
    <s v="Vigor Valley"/>
    <x v="6"/>
    <n v="11111.331"/>
    <n v="1010.121"/>
    <n v="0.38"/>
  </r>
  <r>
    <s v="Men 35-44"/>
    <s v="Market Expansion"/>
    <s v="15 Days"/>
    <x v="1"/>
    <n v="0.12"/>
    <n v="903.3"/>
    <n v="3.53"/>
    <n v="2690"/>
    <n v="9488"/>
    <n v="7"/>
    <s v="Technology"/>
    <d v="2022-07-27T00:00:00"/>
    <s v="Pixel Pioneers"/>
    <x v="0"/>
    <n v="993.63"/>
    <n v="90.33"/>
    <n v="0.34"/>
  </r>
  <r>
    <s v="Men 18-24"/>
    <s v="Increase Sales"/>
    <s v="15 Days"/>
    <x v="1"/>
    <n v="0.06"/>
    <n v="3173.05"/>
    <n v="7.83"/>
    <n v="7825"/>
    <n v="24698"/>
    <n v="3"/>
    <s v="Fashion"/>
    <d v="2022-03-14T00:00:00"/>
    <s v="Mode Maven"/>
    <x v="11"/>
    <n v="3490.355"/>
    <n v="317.30500000000001"/>
    <n v="0.41"/>
  </r>
  <r>
    <s v="Men 45-60"/>
    <s v="Product Launch"/>
    <s v="60 Days"/>
    <x v="0"/>
    <n v="0.13"/>
    <n v="13078.39"/>
    <n v="3.33"/>
    <n v="34573"/>
    <n v="103927"/>
    <n v="7"/>
    <s v="Food"/>
    <d v="2022-07-28T00:00:00"/>
    <s v="Savor Street"/>
    <x v="0"/>
    <n v="14386.228999999999"/>
    <n v="1307.8389999999999"/>
    <n v="0.38"/>
  </r>
  <r>
    <s v="Women 35-44"/>
    <s v="Increase Sales"/>
    <s v="60 Days"/>
    <x v="3"/>
    <n v="0.11"/>
    <n v="12067.53"/>
    <n v="0.31"/>
    <n v="31944"/>
    <n v="96140"/>
    <n v="5"/>
    <s v="Technology"/>
    <d v="2022-09-16T00:00:00"/>
    <s v="Cyber Circuit"/>
    <x v="8"/>
    <n v="13274.282999999999"/>
    <n v="1206.7529999999999"/>
    <n v="0.38"/>
  </r>
  <r>
    <s v="Women 45-60"/>
    <s v="Increase Sales"/>
    <s v="30 Days"/>
    <x v="1"/>
    <n v="0.11"/>
    <n v="6080.84"/>
    <n v="4.7"/>
    <n v="15721"/>
    <n v="48085"/>
    <n v="2"/>
    <s v="Food"/>
    <d v="2022-08-17T00:00:00"/>
    <s v="Epicurean Edge"/>
    <x v="2"/>
    <n v="6688.924"/>
    <n v="608.08399999999995"/>
    <n v="0.39"/>
  </r>
  <r>
    <s v="Men 45-60"/>
    <s v="Increase Sales"/>
    <s v="60 Days"/>
    <x v="2"/>
    <n v="0.1"/>
    <n v="12471.95"/>
    <n v="1.00813456709936"/>
    <n v="19389"/>
    <n v="64116"/>
    <n v="1"/>
    <s v="Home"/>
    <d v="2022-03-28T00:00:00"/>
    <s v="Domestic Dream"/>
    <x v="11"/>
    <n v="13719.145"/>
    <n v="1247.1949999999999"/>
    <n v="0.64"/>
  </r>
  <r>
    <s v="Men 18-24"/>
    <s v="Increase Sales"/>
    <s v="45 Days"/>
    <x v="3"/>
    <n v="0.12"/>
    <n v="9764.24"/>
    <n v="0.62"/>
    <n v="25718"/>
    <n v="77696"/>
    <n v="1"/>
    <s v="Health"/>
    <d v="2022-11-19T00:00:00"/>
    <s v="Wellness Waves"/>
    <x v="3"/>
    <n v="10740.664000000001"/>
    <n v="976.42399999999998"/>
    <n v="0.38"/>
  </r>
  <r>
    <s v="Men 45-60"/>
    <s v="Market Expansion"/>
    <s v="15 Days"/>
    <x v="2"/>
    <n v="7.0000000000000007E-2"/>
    <n v="500"/>
    <n v="0.70783916413359804"/>
    <n v="1160"/>
    <n v="4760"/>
    <n v="1"/>
    <s v="Health"/>
    <d v="2022-05-22T00:00:00"/>
    <s v="Fitness Front"/>
    <x v="4"/>
    <n v="550"/>
    <n v="50"/>
    <n v="0.43"/>
  </r>
  <r>
    <s v="Women 45-60"/>
    <s v="Increase Sales"/>
    <s v="15 Days"/>
    <x v="2"/>
    <n v="0.09"/>
    <n v="1645.79"/>
    <n v="0.63276531339215603"/>
    <n v="2411"/>
    <n v="8833"/>
    <n v="1"/>
    <s v="Home"/>
    <d v="2022-06-17T00:00:00"/>
    <s v="Dwell Delight"/>
    <x v="9"/>
    <n v="1810.3689999999999"/>
    <n v="164.57900000000001"/>
    <n v="0.68"/>
  </r>
  <r>
    <s v="Men 35-44"/>
    <s v="Brand Awareness"/>
    <s v="60 Days"/>
    <x v="3"/>
    <n v="0.05"/>
    <n v="11579.62"/>
    <n v="6.25"/>
    <n v="30659"/>
    <n v="92334"/>
    <n v="8"/>
    <s v="Technology"/>
    <d v="2022-04-09T00:00:00"/>
    <s v="Giga Geeks"/>
    <x v="10"/>
    <n v="12737.582"/>
    <n v="1157.962"/>
    <n v="0.38"/>
  </r>
  <r>
    <s v="All Ages"/>
    <s v="Product Launch"/>
    <s v="60 Days"/>
    <x v="0"/>
    <n v="0.04"/>
    <n v="12726.83"/>
    <n v="0.99"/>
    <n v="33677"/>
    <n v="101271"/>
    <n v="10"/>
    <s v="Home"/>
    <d v="2022-05-11T00:00:00"/>
    <s v="Nest Neat"/>
    <x v="4"/>
    <n v="13999.513000000001"/>
    <n v="1272.683"/>
    <n v="0.38"/>
  </r>
  <r>
    <s v="Women 18-24"/>
    <s v="Increase Sales"/>
    <s v="15 Days"/>
    <x v="0"/>
    <n v="0.05"/>
    <n v="1385.63"/>
    <n v="3.81"/>
    <n v="3576"/>
    <n v="12112"/>
    <n v="10"/>
    <s v="Health"/>
    <d v="2022-01-09T00:00:00"/>
    <s v="Pulse Point"/>
    <x v="1"/>
    <n v="1524.193"/>
    <n v="138.56299999999999"/>
    <n v="0.39"/>
  </r>
  <r>
    <s v="Women 45-60"/>
    <s v="Product Launch"/>
    <s v="15 Days"/>
    <x v="1"/>
    <n v="0.04"/>
    <n v="500"/>
    <n v="4.09"/>
    <n v="1824"/>
    <n v="6922"/>
    <n v="6"/>
    <s v="Technology"/>
    <d v="2022-04-05T00:00:00"/>
    <s v="Cyber Circuit"/>
    <x v="10"/>
    <n v="550"/>
    <n v="50"/>
    <n v="0.27"/>
  </r>
  <r>
    <s v="Men 25-34"/>
    <s v="Product Launch"/>
    <s v="30 Days"/>
    <x v="1"/>
    <n v="0.05"/>
    <n v="5935.49"/>
    <n v="7.5"/>
    <n v="15324"/>
    <n v="46911"/>
    <n v="1"/>
    <s v="Fashion"/>
    <d v="2022-04-11T00:00:00"/>
    <s v="Style Sphere"/>
    <x v="10"/>
    <n v="6529.0389999999998"/>
    <n v="593.54899999999998"/>
    <n v="0.39"/>
  </r>
  <r>
    <s v="Women 35-44"/>
    <s v="Market Expansion"/>
    <s v="60 Days"/>
    <x v="0"/>
    <n v="0.11"/>
    <n v="13620.65"/>
    <n v="4.71"/>
    <n v="35861"/>
    <n v="107740"/>
    <n v="7"/>
    <s v="Health"/>
    <d v="2022-10-09T00:00:00"/>
    <s v="Vital Vigor"/>
    <x v="5"/>
    <n v="14982.715"/>
    <n v="1362.0650000000001"/>
    <n v="0.38"/>
  </r>
  <r>
    <s v="Men 18-24"/>
    <s v="Product Launch"/>
    <s v="45 Days"/>
    <x v="2"/>
    <n v="0.06"/>
    <n v="8115.68"/>
    <n v="1.1261077611216299"/>
    <n v="12469"/>
    <n v="41583"/>
    <n v="1"/>
    <s v="Technology"/>
    <d v="2022-10-23T00:00:00"/>
    <s v="Innovate Infinity"/>
    <x v="5"/>
    <n v="8927.2479999999996"/>
    <n v="811.56800000000101"/>
    <n v="0.65"/>
  </r>
  <r>
    <s v="Women 18-24"/>
    <s v="Brand Awareness"/>
    <s v="15 Days"/>
    <x v="2"/>
    <n v="0.08"/>
    <n v="3350.48"/>
    <n v="0.21807166167752201"/>
    <n v="4870"/>
    <n v="16840"/>
    <n v="1"/>
    <s v="Fashion"/>
    <d v="2022-03-22T00:00:00"/>
    <s v="Style Sphere"/>
    <x v="11"/>
    <n v="3685.5279999999998"/>
    <n v="335.048"/>
    <n v="0.69"/>
  </r>
  <r>
    <s v="Men 35-44"/>
    <s v="Brand Awareness"/>
    <s v="15 Days"/>
    <x v="2"/>
    <n v="0.02"/>
    <n v="3900.11"/>
    <n v="0.16087253730309001"/>
    <n v="5735"/>
    <n v="19656"/>
    <n v="1"/>
    <s v="Home"/>
    <d v="2022-08-11T00:00:00"/>
    <s v="Space Spruce"/>
    <x v="2"/>
    <n v="4290.1210000000001"/>
    <n v="390.010999999999"/>
    <n v="0.68"/>
  </r>
  <r>
    <s v="Women 35-44"/>
    <s v="Market Expansion"/>
    <s v="30 Days"/>
    <x v="1"/>
    <n v="0.09"/>
    <n v="6593.6"/>
    <n v="0.14000000000000001"/>
    <n v="17090"/>
    <n v="52142"/>
    <n v="4"/>
    <s v="Health"/>
    <d v="2022-02-01T00:00:00"/>
    <s v="Balance Beam"/>
    <x v="6"/>
    <n v="7252.96"/>
    <n v="659.36"/>
    <n v="0.39"/>
  </r>
  <r>
    <s v="Men 18-24"/>
    <s v="Increase Sales"/>
    <s v="45 Days"/>
    <x v="1"/>
    <n v="0.05"/>
    <n v="10050.14"/>
    <n v="4.74"/>
    <n v="26488"/>
    <n v="79978"/>
    <n v="8"/>
    <s v="Home"/>
    <d v="2022-12-07T00:00:00"/>
    <s v="Nest Neat"/>
    <x v="7"/>
    <n v="11055.154"/>
    <n v="1005.014"/>
    <n v="0.38"/>
  </r>
  <r>
    <s v="Men 25-34"/>
    <s v="Product Launch"/>
    <s v="60 Days"/>
    <x v="1"/>
    <n v="0.04"/>
    <n v="13814.93"/>
    <n v="7.78"/>
    <n v="36278"/>
    <n v="108978"/>
    <n v="10"/>
    <s v="Food"/>
    <d v="2022-04-20T00:00:00"/>
    <s v="Epicurean Edge"/>
    <x v="10"/>
    <n v="15196.423000000001"/>
    <n v="1381.4929999999999"/>
    <n v="0.38"/>
  </r>
  <r>
    <s v="Men 18-24"/>
    <s v="Market Expansion"/>
    <s v="45 Days"/>
    <x v="0"/>
    <n v="0.05"/>
    <n v="9917.36"/>
    <n v="1.19"/>
    <n v="26127"/>
    <n v="78907"/>
    <n v="4"/>
    <s v="Home"/>
    <d v="2022-07-15T00:00:00"/>
    <s v="Dwell Delight"/>
    <x v="0"/>
    <n v="10909.096"/>
    <n v="991.73599999999999"/>
    <n v="0.38"/>
  </r>
  <r>
    <s v="Women 25-34"/>
    <s v="Increase Sales"/>
    <s v="45 Days"/>
    <x v="2"/>
    <n v="0.09"/>
    <n v="8489.27"/>
    <n v="0.85977433825318395"/>
    <n v="13071"/>
    <n v="43544"/>
    <n v="1"/>
    <s v="Fashion"/>
    <d v="2022-08-29T00:00:00"/>
    <s v="Style Sphere"/>
    <x v="2"/>
    <n v="9338.1970000000001"/>
    <n v="848.92700000000104"/>
    <n v="0.65"/>
  </r>
  <r>
    <s v="Men 25-34"/>
    <s v="Brand Awareness"/>
    <s v="15 Days"/>
    <x v="0"/>
    <n v="0.01"/>
    <n v="2777.25"/>
    <n v="6.24"/>
    <n v="6798"/>
    <n v="21656"/>
    <n v="4"/>
    <s v="Fashion"/>
    <d v="2022-02-25T00:00:00"/>
    <s v="Glam Garments"/>
    <x v="6"/>
    <n v="3054.9749999999999"/>
    <n v="277.72500000000002"/>
    <n v="0.41"/>
  </r>
  <r>
    <s v="Men 45-60"/>
    <s v="Brand Awareness"/>
    <s v="15 Days"/>
    <x v="2"/>
    <n v="0.04"/>
    <n v="1791.36"/>
    <n v="0.24845869650143901"/>
    <n v="2595"/>
    <n v="9432"/>
    <n v="1"/>
    <s v="Food"/>
    <d v="2022-11-13T00:00:00"/>
    <s v="Nosh Nirvana"/>
    <x v="3"/>
    <n v="1970.4960000000001"/>
    <n v="179.136"/>
    <n v="0.69"/>
  </r>
  <r>
    <s v="Men 35-44"/>
    <s v="Brand Awareness"/>
    <s v="60 Days"/>
    <x v="3"/>
    <n v="0.08"/>
    <n v="12993.92"/>
    <n v="7.55"/>
    <n v="34364"/>
    <n v="103307"/>
    <n v="1"/>
    <s v="Home"/>
    <d v="2022-09-13T00:00:00"/>
    <s v="Cozy Corners"/>
    <x v="8"/>
    <n v="14293.312"/>
    <n v="1299.3920000000001"/>
    <n v="0.38"/>
  </r>
  <r>
    <s v="Women 35-44"/>
    <s v="Product Launch"/>
    <s v="15 Days"/>
    <x v="2"/>
    <n v="0.04"/>
    <n v="3483.69"/>
    <n v="0.61489058702514598"/>
    <n v="5073"/>
    <n v="17501"/>
    <n v="1"/>
    <s v="Food"/>
    <d v="2022-04-12T00:00:00"/>
    <s v="Gourmet Grove"/>
    <x v="10"/>
    <n v="3832.0590000000002"/>
    <n v="348.36900000000003"/>
    <n v="0.69"/>
  </r>
  <r>
    <s v="Women 45-60"/>
    <s v="Brand Awareness"/>
    <s v="45 Days"/>
    <x v="0"/>
    <n v="0.04"/>
    <n v="10579.88"/>
    <n v="4.62"/>
    <n v="27932"/>
    <n v="84255"/>
    <n v="10"/>
    <s v="Technology"/>
    <d v="2022-10-26T00:00:00"/>
    <s v="Quantum Quirks"/>
    <x v="5"/>
    <n v="11637.868"/>
    <n v="1057.9880000000001"/>
    <n v="0.38"/>
  </r>
  <r>
    <s v="Women 18-24"/>
    <s v="Market Expansion"/>
    <s v="45 Days"/>
    <x v="1"/>
    <n v="0.14000000000000001"/>
    <n v="9752.26"/>
    <n v="0.68"/>
    <n v="25683"/>
    <n v="77593"/>
    <n v="3"/>
    <s v="Fashion"/>
    <d v="2022-08-21T00:00:00"/>
    <s v="Trend Tailors"/>
    <x v="2"/>
    <n v="10727.486000000001"/>
    <n v="975.226"/>
    <n v="0.38"/>
  </r>
  <r>
    <s v="Women 35-44"/>
    <s v="Market Expansion"/>
    <s v="15 Days"/>
    <x v="2"/>
    <n v="0.02"/>
    <n v="500"/>
    <n v="0.94199807954143"/>
    <n v="460"/>
    <n v="2479"/>
    <n v="1"/>
    <s v="Home"/>
    <d v="2022-10-31T00:00:00"/>
    <s v="Hearth Harmony"/>
    <x v="5"/>
    <n v="550"/>
    <n v="50"/>
    <n v="1.0900000000000001"/>
  </r>
  <r>
    <s v="Women 35-44"/>
    <s v="Increase Sales"/>
    <s v="45 Days"/>
    <x v="0"/>
    <n v="7.0000000000000007E-2"/>
    <n v="9634.57"/>
    <n v="0.28000000000000003"/>
    <n v="25356"/>
    <n v="76626"/>
    <n v="8"/>
    <s v="Fashion"/>
    <d v="2022-02-18T00:00:00"/>
    <s v="Style Sphere"/>
    <x v="6"/>
    <n v="10598.027"/>
    <n v="963.45699999999999"/>
    <n v="0.38"/>
  </r>
  <r>
    <s v="Men 45-60"/>
    <s v="Brand Awareness"/>
    <s v="30 Days"/>
    <x v="2"/>
    <n v="0.11"/>
    <n v="5121.8"/>
    <n v="0.57914113429112601"/>
    <n v="7700"/>
    <n v="26056"/>
    <n v="1"/>
    <s v="Technology"/>
    <d v="2022-10-05T00:00:00"/>
    <s v="Code Crafters"/>
    <x v="5"/>
    <n v="5633.98"/>
    <n v="512.17999999999995"/>
    <n v="0.67"/>
  </r>
  <r>
    <s v="Women 35-44"/>
    <s v="Product Launch"/>
    <s v="60 Days"/>
    <x v="1"/>
    <n v="7.0000000000000007E-2"/>
    <n v="12049.36"/>
    <n v="4.01"/>
    <n v="31894"/>
    <n v="95990"/>
    <n v="6"/>
    <s v="Fashion"/>
    <d v="2022-11-05T00:00:00"/>
    <s v="Chic Couture"/>
    <x v="3"/>
    <n v="13254.296"/>
    <n v="1204.9359999999999"/>
    <n v="0.38"/>
  </r>
  <r>
    <s v="Men 35-44"/>
    <s v="Market Expansion"/>
    <s v="60 Days"/>
    <x v="2"/>
    <n v="0.14000000000000001"/>
    <n v="12084.01"/>
    <n v="0.18232220894350201"/>
    <n v="18788"/>
    <n v="62158"/>
    <n v="1"/>
    <s v="Food"/>
    <d v="2022-10-02T00:00:00"/>
    <s v="Gastronomy Guild"/>
    <x v="5"/>
    <n v="13292.411"/>
    <n v="1208.4010000000001"/>
    <n v="0.64"/>
  </r>
  <r>
    <s v="Men 35-44"/>
    <s v="Increase Sales"/>
    <s v="60 Days"/>
    <x v="3"/>
    <n v="0.1"/>
    <n v="15000"/>
    <n v="5.32"/>
    <n v="39351"/>
    <n v="118078"/>
    <n v="5"/>
    <s v="Technology"/>
    <d v="2022-06-19T00:00:00"/>
    <s v="Quantum Quirks"/>
    <x v="9"/>
    <n v="16500"/>
    <n v="1500"/>
    <n v="0.38"/>
  </r>
  <r>
    <s v="Women 25-34"/>
    <s v="Brand Awareness"/>
    <s v="30 Days"/>
    <x v="2"/>
    <n v="0.11"/>
    <n v="5538.62"/>
    <n v="0.411118706441231"/>
    <n v="8361"/>
    <n v="28208"/>
    <n v="1"/>
    <s v="Home"/>
    <d v="2022-07-20T00:00:00"/>
    <s v="Cozy Corners"/>
    <x v="0"/>
    <n v="6092.482"/>
    <n v="553.86199999999997"/>
    <n v="0.66"/>
  </r>
  <r>
    <s v="All Ages"/>
    <s v="Product Launch"/>
    <s v="60 Days"/>
    <x v="2"/>
    <n v="0.11"/>
    <n v="15000"/>
    <n v="0.91339851735421396"/>
    <n v="22844"/>
    <n v="75364"/>
    <n v="1"/>
    <s v="Fashion"/>
    <d v="2022-03-26T00:00:00"/>
    <s v="Vogue Visions"/>
    <x v="11"/>
    <n v="16500"/>
    <n v="1500"/>
    <n v="0.66"/>
  </r>
  <r>
    <s v="Men 25-34"/>
    <s v="Product Launch"/>
    <s v="15 Days"/>
    <x v="2"/>
    <n v="0.04"/>
    <n v="1272.6600000000001"/>
    <n v="1.0778459999307"/>
    <n v="1972"/>
    <n v="7402"/>
    <n v="1"/>
    <s v="Technology"/>
    <d v="2022-05-21T00:00:00"/>
    <s v="NexGen Nerds"/>
    <x v="4"/>
    <n v="1399.9259999999999"/>
    <n v="127.26600000000001"/>
    <n v="0.65"/>
  </r>
  <r>
    <s v="Men 45-60"/>
    <s v="Increase Sales"/>
    <s v="30 Days"/>
    <x v="0"/>
    <n v="0.05"/>
    <n v="7428.96"/>
    <n v="0.19"/>
    <n v="19348"/>
    <n v="58828"/>
    <n v="5"/>
    <s v="Health"/>
    <d v="2022-05-18T00:00:00"/>
    <s v="Heal Hub"/>
    <x v="4"/>
    <n v="8171.8559999999998"/>
    <n v="742.89599999999996"/>
    <n v="0.38"/>
  </r>
  <r>
    <s v="Men 25-34"/>
    <s v="Increase Sales"/>
    <s v="30 Days"/>
    <x v="0"/>
    <n v="0.12"/>
    <n v="7132.53"/>
    <n v="4.32"/>
    <n v="18557"/>
    <n v="56487"/>
    <n v="10"/>
    <s v="Fashion"/>
    <d v="2022-10-12T00:00:00"/>
    <s v="Fiber Fashion"/>
    <x v="5"/>
    <n v="7845.7830000000004"/>
    <n v="713.25300000000004"/>
    <n v="0.38"/>
  </r>
  <r>
    <s v="All Ages"/>
    <s v="Market Expansion"/>
    <s v="30 Days"/>
    <x v="1"/>
    <n v="0.12"/>
    <n v="4302.2"/>
    <n v="2.39"/>
    <n v="10872"/>
    <n v="33724"/>
    <n v="8"/>
    <s v="Home"/>
    <d v="2022-01-21T00:00:00"/>
    <s v="Living Luxe"/>
    <x v="1"/>
    <n v="4732.42"/>
    <n v="430.22"/>
    <n v="0.4"/>
  </r>
  <r>
    <s v="Men 25-34"/>
    <s v="Product Launch"/>
    <s v="30 Days"/>
    <x v="2"/>
    <n v="0.11"/>
    <n v="4968.42"/>
    <n v="1.2530183183274"/>
    <n v="7449"/>
    <n v="25237"/>
    <n v="1"/>
    <s v="Technology"/>
    <d v="2022-04-22T00:00:00"/>
    <s v="Giga Geeks"/>
    <x v="10"/>
    <n v="5465.2619999999997"/>
    <n v="496.84199999999998"/>
    <n v="0.67"/>
  </r>
  <r>
    <s v="Women 25-34"/>
    <s v="Increase Sales"/>
    <s v="60 Days"/>
    <x v="0"/>
    <n v="0.09"/>
    <n v="13788.69"/>
    <n v="1.37"/>
    <n v="36220"/>
    <n v="108805"/>
    <n v="2"/>
    <s v="Home"/>
    <d v="2022-08-23T00:00:00"/>
    <s v="Hearth Harmony"/>
    <x v="2"/>
    <n v="15167.558999999999"/>
    <n v="1378.8689999999999"/>
    <n v="0.38"/>
  </r>
  <r>
    <s v="All Ages"/>
    <s v="Market Expansion"/>
    <s v="30 Days"/>
    <x v="3"/>
    <n v="0.08"/>
    <n v="4356.5"/>
    <n v="6.24"/>
    <n v="11013"/>
    <n v="34140"/>
    <n v="10"/>
    <s v="Home"/>
    <d v="2022-05-02T00:00:00"/>
    <s v="Decor Dreams"/>
    <x v="4"/>
    <n v="4792.1499999999996"/>
    <n v="435.65"/>
    <n v="0.4"/>
  </r>
  <r>
    <s v="Women 45-60"/>
    <s v="Market Expansion"/>
    <s v="60 Days"/>
    <x v="3"/>
    <n v="0.14000000000000001"/>
    <n v="13975.86"/>
    <n v="7.62"/>
    <n v="36617"/>
    <n v="109979"/>
    <n v="5"/>
    <s v="Fashion"/>
    <d v="2022-07-14T00:00:00"/>
    <s v="Fiber Fashion"/>
    <x v="0"/>
    <n v="15373.446"/>
    <n v="1397.586"/>
    <n v="0.38"/>
  </r>
  <r>
    <s v="All Ages"/>
    <s v="Product Launch"/>
    <s v="45 Days"/>
    <x v="3"/>
    <n v="0.02"/>
    <n v="7936.64"/>
    <n v="1.1100000000000001"/>
    <n v="20739"/>
    <n v="62948"/>
    <n v="3"/>
    <s v="Food"/>
    <d v="2022-07-16T00:00:00"/>
    <s v="Gastronomy Guild"/>
    <x v="0"/>
    <n v="8730.3040000000001"/>
    <n v="793.66400000000101"/>
    <n v="0.38"/>
  </r>
  <r>
    <s v="All Ages"/>
    <s v="Product Launch"/>
    <s v="30 Days"/>
    <x v="2"/>
    <n v="0.08"/>
    <n v="6156"/>
    <n v="0.78291301487503995"/>
    <n v="9350"/>
    <n v="31426"/>
    <n v="1"/>
    <s v="Food"/>
    <d v="2022-04-06T00:00:00"/>
    <s v="Gastronomy Guild"/>
    <x v="10"/>
    <n v="6771.6"/>
    <n v="615.6"/>
    <n v="0.66"/>
  </r>
  <r>
    <s v="Men 45-60"/>
    <s v="Product Launch"/>
    <s v="60 Days"/>
    <x v="0"/>
    <n v="0.06"/>
    <n v="15000"/>
    <n v="3.68"/>
    <n v="39418"/>
    <n v="118276"/>
    <n v="4"/>
    <s v="Home"/>
    <d v="2022-07-14T00:00:00"/>
    <s v="Domestic Dream"/>
    <x v="0"/>
    <n v="16500"/>
    <n v="1500"/>
    <n v="0.38"/>
  </r>
  <r>
    <s v="Men 18-24"/>
    <s v="Product Launch"/>
    <s v="45 Days"/>
    <x v="2"/>
    <n v="0.09"/>
    <n v="7918.87"/>
    <n v="0.98847236809565597"/>
    <n v="12151"/>
    <n v="40548"/>
    <n v="1"/>
    <s v="Home"/>
    <d v="2022-12-30T00:00:00"/>
    <s v="Furnish Fine"/>
    <x v="7"/>
    <n v="8710.7569999999996"/>
    <n v="791.88700000000097"/>
    <n v="0.65"/>
  </r>
  <r>
    <s v="Women 45-60"/>
    <s v="Product Launch"/>
    <s v="60 Days"/>
    <x v="2"/>
    <n v="0.11"/>
    <n v="12235.47"/>
    <n v="0.20913429849401699"/>
    <n v="19025"/>
    <n v="62930"/>
    <n v="1"/>
    <s v="Home"/>
    <d v="2022-06-21T00:00:00"/>
    <s v="Domestic Dream"/>
    <x v="9"/>
    <n v="13459.017"/>
    <n v="1223.547"/>
    <n v="0.64"/>
  </r>
  <r>
    <s v="Women 25-34"/>
    <s v="Product Launch"/>
    <s v="15 Days"/>
    <x v="3"/>
    <n v="0.08"/>
    <n v="963.63"/>
    <n v="6.58"/>
    <n v="2793"/>
    <n v="9793"/>
    <n v="10"/>
    <s v="Technology"/>
    <d v="2022-10-04T00:00:00"/>
    <s v="Gadget Giants"/>
    <x v="5"/>
    <n v="1059.9929999999999"/>
    <n v="96.363000000000099"/>
    <n v="0.35"/>
  </r>
  <r>
    <s v="Women 35-44"/>
    <s v="Product Launch"/>
    <s v="15 Days"/>
    <x v="0"/>
    <n v="0.05"/>
    <n v="3006.18"/>
    <n v="6.57"/>
    <n v="7396"/>
    <n v="23426"/>
    <n v="9"/>
    <s v="Food"/>
    <d v="2022-07-17T00:00:00"/>
    <s v="Nosh Nirvana"/>
    <x v="0"/>
    <n v="3306.7979999999998"/>
    <n v="300.61799999999999"/>
    <n v="0.41"/>
  </r>
  <r>
    <s v="Women 45-60"/>
    <s v="Brand Awareness"/>
    <s v="15 Days"/>
    <x v="2"/>
    <n v="0.08"/>
    <n v="3950.44"/>
    <n v="0.16087253730309001"/>
    <n v="5818"/>
    <n v="19925"/>
    <n v="1"/>
    <s v="Food"/>
    <d v="2022-03-12T00:00:00"/>
    <s v="Nosh Nirvana"/>
    <x v="11"/>
    <n v="4345.4840000000004"/>
    <n v="395.04399999999998"/>
    <n v="0.68"/>
  </r>
  <r>
    <s v="Women 18-24"/>
    <s v="Brand Awareness"/>
    <s v="60 Days"/>
    <x v="1"/>
    <n v="0.03"/>
    <n v="12826.7"/>
    <n v="0.18"/>
    <n v="33943"/>
    <n v="102060"/>
    <n v="4"/>
    <s v="Food"/>
    <d v="2022-01-12T00:00:00"/>
    <s v="Gastronomy Guild"/>
    <x v="1"/>
    <n v="14109.37"/>
    <n v="1282.67"/>
    <n v="0.38"/>
  </r>
  <r>
    <s v="All Ages"/>
    <s v="Product Launch"/>
    <s v="45 Days"/>
    <x v="3"/>
    <n v="0.14000000000000001"/>
    <n v="10130.92"/>
    <n v="4.45"/>
    <n v="26715"/>
    <n v="80652"/>
    <n v="5"/>
    <s v="Health"/>
    <d v="2022-04-23T00:00:00"/>
    <s v="Balance Beam"/>
    <x v="10"/>
    <n v="11144.012000000001"/>
    <n v="1013.092"/>
    <n v="0.38"/>
  </r>
  <r>
    <s v="Men 35-44"/>
    <s v="Increase Sales"/>
    <s v="30 Days"/>
    <x v="2"/>
    <n v="7.0000000000000007E-2"/>
    <n v="7587.52"/>
    <n v="0.71141410940700001"/>
    <n v="11619"/>
    <n v="38816"/>
    <n v="1"/>
    <s v="Home"/>
    <d v="2022-11-23T00:00:00"/>
    <s v="Homely Haven"/>
    <x v="3"/>
    <n v="8346.2720000000008"/>
    <n v="758.75199999999995"/>
    <n v="0.65"/>
  </r>
  <r>
    <s v="Men 25-34"/>
    <s v="Product Launch"/>
    <s v="45 Days"/>
    <x v="3"/>
    <n v="0.12"/>
    <n v="7952.26"/>
    <n v="4.4800000000000004"/>
    <n v="20784"/>
    <n v="63082"/>
    <n v="10"/>
    <s v="Home"/>
    <d v="2022-09-04T00:00:00"/>
    <s v="Homely Haven"/>
    <x v="8"/>
    <n v="8747.4860000000008"/>
    <n v="795.226"/>
    <n v="0.38"/>
  </r>
  <r>
    <s v="Women 18-24"/>
    <s v="Market Expansion"/>
    <s v="60 Days"/>
    <x v="3"/>
    <n v="0.06"/>
    <n v="14105.23"/>
    <n v="3.8"/>
    <n v="36891"/>
    <n v="110794"/>
    <n v="5"/>
    <s v="Food"/>
    <d v="2022-09-14T00:00:00"/>
    <s v="Savor Street"/>
    <x v="8"/>
    <n v="15515.753000000001"/>
    <n v="1410.5229999999999"/>
    <n v="0.38"/>
  </r>
  <r>
    <s v="Men 45-60"/>
    <s v="Brand Awareness"/>
    <s v="30 Days"/>
    <x v="1"/>
    <n v="0.04"/>
    <n v="5641.72"/>
    <n v="3.68"/>
    <n v="14522"/>
    <n v="44535"/>
    <n v="7"/>
    <s v="Fashion"/>
    <d v="2022-11-09T00:00:00"/>
    <s v="Runway Rebels"/>
    <x v="3"/>
    <n v="6205.8919999999998"/>
    <n v="564.17200000000003"/>
    <n v="0.39"/>
  </r>
  <r>
    <s v="All Ages"/>
    <s v="Increase Sales"/>
    <s v="30 Days"/>
    <x v="2"/>
    <n v="0.08"/>
    <n v="4572.66"/>
    <n v="0.32532001987958298"/>
    <n v="6818"/>
    <n v="23181"/>
    <n v="1"/>
    <s v="Food"/>
    <d v="2022-12-12T00:00:00"/>
    <s v="Feast Flavors"/>
    <x v="7"/>
    <n v="5029.9260000000004"/>
    <n v="457.26600000000002"/>
    <n v="0.67"/>
  </r>
  <r>
    <s v="Men 45-60"/>
    <s v="Product Launch"/>
    <s v="60 Days"/>
    <x v="3"/>
    <n v="0.13"/>
    <n v="12784.35"/>
    <n v="1.64"/>
    <n v="33835"/>
    <n v="101740"/>
    <n v="7"/>
    <s v="Health"/>
    <d v="2022-06-30T00:00:00"/>
    <s v="Pulse Point"/>
    <x v="9"/>
    <n v="14062.785"/>
    <n v="1278.4349999999999"/>
    <n v="0.38"/>
  </r>
  <r>
    <s v="Men 25-34"/>
    <s v="Increase Sales"/>
    <s v="60 Days"/>
    <x v="0"/>
    <n v="0.05"/>
    <n v="11942.5"/>
    <n v="1.41"/>
    <n v="31621"/>
    <n v="95182"/>
    <n v="7"/>
    <s v="Fashion"/>
    <d v="2022-07-10T00:00:00"/>
    <s v="Style Sphere"/>
    <x v="0"/>
    <n v="13136.75"/>
    <n v="1194.25"/>
    <n v="0.38"/>
  </r>
  <r>
    <s v="Women 18-24"/>
    <s v="Market Expansion"/>
    <s v="45 Days"/>
    <x v="2"/>
    <n v="0.15"/>
    <n v="9326.02"/>
    <n v="0.52372948255339402"/>
    <n v="14389"/>
    <n v="47835"/>
    <n v="1"/>
    <s v="Home"/>
    <d v="2022-04-24T00:00:00"/>
    <s v="Nest Neat"/>
    <x v="10"/>
    <n v="10258.621999999999"/>
    <n v="932.60199999999998"/>
    <n v="0.65"/>
  </r>
  <r>
    <s v="Women 25-34"/>
    <s v="Product Launch"/>
    <s v="45 Days"/>
    <x v="1"/>
    <n v="0.14000000000000001"/>
    <n v="11195.34"/>
    <n v="7.94"/>
    <n v="29612"/>
    <n v="89232"/>
    <n v="1"/>
    <s v="Fashion"/>
    <d v="2022-05-05T00:00:00"/>
    <s v="Attire Artistry"/>
    <x v="4"/>
    <n v="12314.874"/>
    <n v="1119.5340000000001"/>
    <n v="0.38"/>
  </r>
  <r>
    <s v="All Ages"/>
    <s v="Product Launch"/>
    <s v="60 Days"/>
    <x v="2"/>
    <n v="0.02"/>
    <n v="15000"/>
    <n v="0.20377188058391399"/>
    <n v="22696"/>
    <n v="74885"/>
    <n v="1"/>
    <s v="Health"/>
    <d v="2022-03-29T00:00:00"/>
    <s v="Elixir Essence"/>
    <x v="11"/>
    <n v="16500"/>
    <n v="1500"/>
    <n v="0.66"/>
  </r>
  <r>
    <s v="Men 25-34"/>
    <s v="Increase Sales"/>
    <s v="60 Days"/>
    <x v="2"/>
    <n v="0.14000000000000001"/>
    <n v="15000"/>
    <n v="0.48261761190927099"/>
    <n v="22830"/>
    <n v="75321"/>
    <n v="1"/>
    <s v="Technology"/>
    <d v="2022-03-09T00:00:00"/>
    <s v="Silicon Saga"/>
    <x v="11"/>
    <n v="16500"/>
    <n v="1500"/>
    <n v="0.66"/>
  </r>
  <r>
    <s v="All Ages"/>
    <s v="Product Launch"/>
    <s v="15 Days"/>
    <x v="0"/>
    <n v="0.05"/>
    <n v="3932.96"/>
    <n v="2.3199999999999998"/>
    <n v="9857"/>
    <n v="30715"/>
    <n v="6"/>
    <s v="Home"/>
    <d v="2022-08-25T00:00:00"/>
    <s v="Dwell Delight"/>
    <x v="2"/>
    <n v="4326.2560000000003"/>
    <n v="393.29599999999999"/>
    <n v="0.4"/>
  </r>
  <r>
    <s v="Men 25-34"/>
    <s v="Increase Sales"/>
    <s v="30 Days"/>
    <x v="2"/>
    <n v="0.01"/>
    <n v="6433.79"/>
    <n v="0.40218134325772598"/>
    <n v="9789"/>
    <n v="32854"/>
    <n v="1"/>
    <s v="Technology"/>
    <d v="2022-10-25T00:00:00"/>
    <s v="Gadget Giants"/>
    <x v="5"/>
    <n v="7077.1689999999999"/>
    <n v="643.37900000000002"/>
    <n v="0.66"/>
  </r>
  <r>
    <s v="Men 35-44"/>
    <s v="Market Expansion"/>
    <s v="45 Days"/>
    <x v="0"/>
    <n v="0.14000000000000001"/>
    <n v="9931.6200000000008"/>
    <n v="6.09"/>
    <n v="26163"/>
    <n v="79015"/>
    <n v="1"/>
    <s v="Health"/>
    <d v="2022-09-08T00:00:00"/>
    <s v="Fitness Front"/>
    <x v="8"/>
    <n v="10924.781999999999"/>
    <n v="993.16200000000003"/>
    <n v="0.38"/>
  </r>
  <r>
    <s v="Men 25-34"/>
    <s v="Product Launch"/>
    <s v="30 Days"/>
    <x v="3"/>
    <n v="0.09"/>
    <n v="7536.35"/>
    <n v="4.17"/>
    <n v="19643"/>
    <n v="59702"/>
    <n v="1"/>
    <s v="Health"/>
    <d v="2022-07-13T00:00:00"/>
    <s v="Fitness Front"/>
    <x v="0"/>
    <n v="8289.9850000000006"/>
    <n v="753.63499999999999"/>
    <n v="0.38"/>
  </r>
  <r>
    <s v="Men 35-44"/>
    <s v="Brand Awareness"/>
    <s v="45 Days"/>
    <x v="1"/>
    <n v="0.02"/>
    <n v="10133.48"/>
    <n v="7.32"/>
    <n v="26723"/>
    <n v="80674"/>
    <n v="3"/>
    <s v="Technology"/>
    <d v="2022-03-05T00:00:00"/>
    <s v="Code Crafters"/>
    <x v="11"/>
    <n v="11146.828"/>
    <n v="1013.348"/>
    <n v="0.38"/>
  </r>
  <r>
    <s v="Women 45-60"/>
    <s v="Market Expansion"/>
    <s v="60 Days"/>
    <x v="1"/>
    <n v="0.11"/>
    <n v="13498.73"/>
    <n v="1.67"/>
    <n v="35573"/>
    <n v="106889"/>
    <n v="4"/>
    <s v="Fashion"/>
    <d v="2022-04-18T00:00:00"/>
    <s v="Fiber Fashion"/>
    <x v="10"/>
    <n v="14848.602999999999"/>
    <n v="1349.873"/>
    <n v="0.38"/>
  </r>
  <r>
    <s v="Women 45-60"/>
    <s v="Product Launch"/>
    <s v="60 Days"/>
    <x v="0"/>
    <n v="0.12"/>
    <n v="13794.84"/>
    <n v="0.71"/>
    <n v="36236"/>
    <n v="108851"/>
    <n v="1"/>
    <s v="Fashion"/>
    <d v="2022-12-04T00:00:00"/>
    <s v="Style Sphere"/>
    <x v="7"/>
    <n v="15174.324000000001"/>
    <n v="1379.4839999999999"/>
    <n v="0.38"/>
  </r>
  <r>
    <s v="Women 35-44"/>
    <s v="Increase Sales"/>
    <s v="45 Days"/>
    <x v="3"/>
    <n v="0.03"/>
    <n v="8613.3799999999992"/>
    <n v="5.57"/>
    <n v="22593"/>
    <n v="68442"/>
    <n v="7"/>
    <s v="Technology"/>
    <d v="2022-03-17T00:00:00"/>
    <s v="Gadget Giants"/>
    <x v="11"/>
    <n v="9474.7180000000008"/>
    <n v="861.33800000000099"/>
    <n v="0.38"/>
  </r>
  <r>
    <s v="Women 18-24"/>
    <s v="Product Launch"/>
    <s v="15 Days"/>
    <x v="2"/>
    <n v="0.14000000000000001"/>
    <n v="3461.28"/>
    <n v="0.13227297511587399"/>
    <n v="5039"/>
    <n v="17389"/>
    <n v="1"/>
    <s v="Fashion"/>
    <d v="2022-07-04T00:00:00"/>
    <s v="Fiber Fashion"/>
    <x v="0"/>
    <n v="3807.4079999999999"/>
    <n v="346.12799999999999"/>
    <n v="0.69"/>
  </r>
  <r>
    <s v="Men 18-24"/>
    <s v="Product Launch"/>
    <s v="60 Days"/>
    <x v="2"/>
    <n v="0.01"/>
    <n v="11565.76"/>
    <n v="0.51836706464329096"/>
    <n v="17986"/>
    <n v="59546"/>
    <n v="1"/>
    <s v="Health"/>
    <d v="2022-03-30T00:00:00"/>
    <s v="Vigor Valley"/>
    <x v="11"/>
    <n v="12722.335999999999"/>
    <n v="1156.576"/>
    <n v="0.64"/>
  </r>
  <r>
    <s v="Men 45-60"/>
    <s v="Brand Awareness"/>
    <s v="60 Days"/>
    <x v="0"/>
    <n v="0.02"/>
    <n v="15000"/>
    <n v="4.76"/>
    <n v="38799"/>
    <n v="116442"/>
    <n v="7"/>
    <s v="Fashion"/>
    <d v="2022-08-06T00:00:00"/>
    <s v="Style Sphere"/>
    <x v="2"/>
    <n v="16500"/>
    <n v="1500"/>
    <n v="0.39"/>
  </r>
  <r>
    <s v="Men 18-24"/>
    <s v="Market Expansion"/>
    <s v="30 Days"/>
    <x v="1"/>
    <n v="0.12"/>
    <n v="7514.02"/>
    <n v="3.29"/>
    <n v="19589"/>
    <n v="59542"/>
    <n v="6"/>
    <s v="Technology"/>
    <d v="2022-01-15T00:00:00"/>
    <s v="Giga Geeks"/>
    <x v="1"/>
    <n v="8265.4220000000005"/>
    <n v="751.40200000000004"/>
    <n v="0.38"/>
  </r>
  <r>
    <s v="Women 25-34"/>
    <s v="Brand Awareness"/>
    <s v="30 Days"/>
    <x v="1"/>
    <n v="0.04"/>
    <n v="6272.46"/>
    <n v="4.95"/>
    <n v="16231"/>
    <n v="49598"/>
    <n v="7"/>
    <s v="Food"/>
    <d v="2022-09-13T00:00:00"/>
    <s v="Bistro Bliss"/>
    <x v="8"/>
    <n v="6899.7060000000001"/>
    <n v="627.246000000001"/>
    <n v="0.39"/>
  </r>
  <r>
    <s v="Women 35-44"/>
    <s v="Market Expansion"/>
    <s v="15 Days"/>
    <x v="1"/>
    <n v="0.12"/>
    <n v="1047.0899999999999"/>
    <n v="6.65"/>
    <n v="2949"/>
    <n v="10255"/>
    <n v="7"/>
    <s v="Home"/>
    <d v="2022-08-17T00:00:00"/>
    <s v="Decor Dreams"/>
    <x v="2"/>
    <n v="1151.799"/>
    <n v="104.709"/>
    <n v="0.36"/>
  </r>
  <r>
    <s v="Men 18-24"/>
    <s v="Market Expansion"/>
    <s v="30 Days"/>
    <x v="1"/>
    <n v="0.05"/>
    <n v="7192.49"/>
    <n v="7.09"/>
    <n v="18721"/>
    <n v="56973"/>
    <n v="4"/>
    <s v="Health"/>
    <d v="2022-11-12T00:00:00"/>
    <s v="Aura Align"/>
    <x v="3"/>
    <n v="7911.7389999999996"/>
    <n v="719.24900000000002"/>
    <n v="0.38"/>
  </r>
  <r>
    <s v="All Ages"/>
    <s v="Product Launch"/>
    <s v="30 Days"/>
    <x v="3"/>
    <n v="0.04"/>
    <n v="4515"/>
    <n v="3.54"/>
    <n v="11449"/>
    <n v="35433"/>
    <n v="5"/>
    <s v="Health"/>
    <d v="2022-06-24T00:00:00"/>
    <s v="Well Wish"/>
    <x v="9"/>
    <n v="4966.5"/>
    <n v="451.5"/>
    <n v="0.39"/>
  </r>
  <r>
    <s v="Women 25-34"/>
    <s v="Increase Sales"/>
    <s v="30 Days"/>
    <x v="1"/>
    <n v="0.13"/>
    <n v="4251.2700000000004"/>
    <n v="1.87"/>
    <n v="10734"/>
    <n v="33313"/>
    <n v="8"/>
    <s v="Technology"/>
    <d v="2022-02-01T00:00:00"/>
    <s v="Quantum Quirks"/>
    <x v="6"/>
    <n v="4676.3969999999999"/>
    <n v="425.12700000000001"/>
    <n v="0.4"/>
  </r>
  <r>
    <s v="Men 25-34"/>
    <s v="Product Launch"/>
    <s v="45 Days"/>
    <x v="1"/>
    <n v="0.13"/>
    <n v="11381.91"/>
    <n v="0.68"/>
    <n v="30115"/>
    <n v="90722"/>
    <n v="1"/>
    <s v="Food"/>
    <d v="2022-02-24T00:00:00"/>
    <s v="Feast Flavors"/>
    <x v="6"/>
    <n v="12520.101000000001"/>
    <n v="1138.191"/>
    <n v="0.38"/>
  </r>
  <r>
    <s v="Women 35-44"/>
    <s v="Increase Sales"/>
    <s v="15 Days"/>
    <x v="3"/>
    <n v="0.09"/>
    <n v="1720.4"/>
    <n v="2.13"/>
    <n v="4265"/>
    <n v="14152"/>
    <n v="2"/>
    <s v="Food"/>
    <d v="2022-12-22T00:00:00"/>
    <s v="Bistro Bliss"/>
    <x v="7"/>
    <n v="1892.44"/>
    <n v="172.04"/>
    <n v="0.4"/>
  </r>
  <r>
    <s v="Men 25-34"/>
    <s v="Market Expansion"/>
    <s v="45 Days"/>
    <x v="0"/>
    <n v="0.14000000000000001"/>
    <n v="8140.56"/>
    <n v="7.84"/>
    <n v="21302"/>
    <n v="64618"/>
    <n v="5"/>
    <s v="Food"/>
    <d v="2022-07-22T00:00:00"/>
    <s v="Savor Street"/>
    <x v="0"/>
    <n v="8954.616"/>
    <n v="814.05600000000095"/>
    <n v="0.38"/>
  </r>
  <r>
    <s v="Men 18-24"/>
    <s v="Brand Awareness"/>
    <s v="30 Days"/>
    <x v="2"/>
    <n v="0.06"/>
    <n v="5763.15"/>
    <n v="0.21985913431422299"/>
    <n v="8718"/>
    <n v="29371"/>
    <n v="1"/>
    <s v="Fashion"/>
    <d v="2022-10-22T00:00:00"/>
    <s v="Silk &amp; Style"/>
    <x v="5"/>
    <n v="6339.4650000000001"/>
    <n v="576.31500000000005"/>
    <n v="0.66"/>
  </r>
  <r>
    <s v="Men 18-24"/>
    <s v="Increase Sales"/>
    <s v="45 Days"/>
    <x v="0"/>
    <n v="0.03"/>
    <n v="10216.719999999999"/>
    <n v="5.56"/>
    <n v="26946"/>
    <n v="81334"/>
    <n v="10"/>
    <s v="Technology"/>
    <d v="2022-02-26T00:00:00"/>
    <s v="Gadget Giants"/>
    <x v="6"/>
    <n v="11238.392"/>
    <n v="1021.672"/>
    <n v="0.38"/>
  </r>
  <r>
    <s v="Men 25-34"/>
    <s v="Market Expansion"/>
    <s v="15 Days"/>
    <x v="2"/>
    <n v="0.12"/>
    <n v="3985.66"/>
    <n v="0.50942970145978606"/>
    <n v="5874"/>
    <n v="20109"/>
    <n v="1"/>
    <s v="Health"/>
    <d v="2022-07-30T00:00:00"/>
    <s v="Balance Beam"/>
    <x v="0"/>
    <n v="4384.2259999999997"/>
    <n v="398.56599999999997"/>
    <n v="0.68"/>
  </r>
  <r>
    <s v="Men 25-34"/>
    <s v="Increase Sales"/>
    <s v="30 Days"/>
    <x v="3"/>
    <n v="0.02"/>
    <n v="5625.57"/>
    <n v="5.12"/>
    <n v="14480"/>
    <n v="44411"/>
    <n v="3"/>
    <s v="Fashion"/>
    <d v="2022-07-02T00:00:00"/>
    <s v="Vogue Visions"/>
    <x v="0"/>
    <n v="6188.1270000000004"/>
    <n v="562.55700000000002"/>
    <n v="0.39"/>
  </r>
  <r>
    <s v="Men 45-60"/>
    <s v="Brand Awareness"/>
    <s v="15 Days"/>
    <x v="2"/>
    <n v="0.15"/>
    <n v="526.75"/>
    <n v="0.56484135319751805"/>
    <n v="1246"/>
    <n v="5040"/>
    <n v="1"/>
    <s v="Home"/>
    <d v="2022-09-26T00:00:00"/>
    <s v="Space Spruce"/>
    <x v="8"/>
    <n v="579.42499999999995"/>
    <n v="52.674999999999997"/>
    <n v="0.42"/>
  </r>
  <r>
    <s v="Men 25-34"/>
    <s v="Market Expansion"/>
    <s v="60 Days"/>
    <x v="1"/>
    <n v="0.11"/>
    <n v="13390.07"/>
    <n v="3.89"/>
    <n v="35323"/>
    <n v="106147"/>
    <n v="3"/>
    <s v="Food"/>
    <d v="2022-07-21T00:00:00"/>
    <s v="Nosh Nirvana"/>
    <x v="0"/>
    <n v="14729.076999999999"/>
    <n v="1339.0070000000001"/>
    <n v="0.38"/>
  </r>
  <r>
    <s v="Men 45-60"/>
    <s v="Brand Awareness"/>
    <s v="30 Days"/>
    <x v="2"/>
    <n v="0.09"/>
    <n v="5137.71"/>
    <n v="0.41290617907793198"/>
    <n v="7727"/>
    <n v="26143"/>
    <n v="1"/>
    <s v="Food"/>
    <d v="2022-10-18T00:00:00"/>
    <s v="Gourmet Grove"/>
    <x v="5"/>
    <n v="5651.4809999999998"/>
    <n v="513.77099999999996"/>
    <n v="0.66"/>
  </r>
  <r>
    <s v="Men 35-44"/>
    <s v="Market Expansion"/>
    <s v="30 Days"/>
    <x v="3"/>
    <n v="0.13"/>
    <n v="6759.6"/>
    <n v="2.29"/>
    <n v="17541"/>
    <n v="53475"/>
    <n v="2"/>
    <s v="Fashion"/>
    <d v="2022-11-15T00:00:00"/>
    <s v="Runway Rebels"/>
    <x v="3"/>
    <n v="7435.56"/>
    <n v="675.96000000000095"/>
    <n v="0.39"/>
  </r>
  <r>
    <s v="Men 18-24"/>
    <s v="Brand Awareness"/>
    <s v="30 Days"/>
    <x v="1"/>
    <n v="0.03"/>
    <n v="4383.2"/>
    <n v="5.71"/>
    <n v="11091"/>
    <n v="34372"/>
    <n v="8"/>
    <s v="Food"/>
    <d v="2022-07-19T00:00:00"/>
    <s v="Gourmet Grove"/>
    <x v="0"/>
    <n v="4821.5200000000004"/>
    <n v="438.32"/>
    <n v="0.4"/>
  </r>
  <r>
    <s v="Women 18-24"/>
    <s v="Brand Awareness"/>
    <s v="60 Days"/>
    <x v="1"/>
    <n v="0.12"/>
    <n v="13171.29"/>
    <n v="0.6"/>
    <n v="34802"/>
    <n v="104603"/>
    <n v="2"/>
    <s v="Fashion"/>
    <d v="2022-11-12T00:00:00"/>
    <s v="Runway Rebels"/>
    <x v="3"/>
    <n v="14488.419"/>
    <n v="1317.1289999999999"/>
    <n v="0.38"/>
  </r>
  <r>
    <s v="Women 35-44"/>
    <s v="Brand Awareness"/>
    <s v="15 Days"/>
    <x v="1"/>
    <n v="0.12"/>
    <n v="3985.01"/>
    <n v="0.3"/>
    <n v="10000"/>
    <n v="31140"/>
    <n v="2"/>
    <s v="Home"/>
    <d v="2022-05-07T00:00:00"/>
    <s v="Decor Dreams"/>
    <x v="4"/>
    <n v="4383.5110000000004"/>
    <n v="398.50099999999998"/>
    <n v="0.4"/>
  </r>
  <r>
    <s v="All Ages"/>
    <s v="Increase Sales"/>
    <s v="30 Days"/>
    <x v="0"/>
    <n v="0.04"/>
    <n v="5001.3599999999997"/>
    <n v="0.65"/>
    <n v="12775"/>
    <n v="39361"/>
    <n v="9"/>
    <s v="Technology"/>
    <d v="2022-06-27T00:00:00"/>
    <s v="Giga Geeks"/>
    <x v="9"/>
    <n v="5501.4960000000001"/>
    <n v="500.13600000000002"/>
    <n v="0.39"/>
  </r>
  <r>
    <s v="Men 45-60"/>
    <s v="Brand Awareness"/>
    <s v="15 Days"/>
    <x v="2"/>
    <n v="0.04"/>
    <n v="3315.83"/>
    <n v="0.80615015915215305"/>
    <n v="4817"/>
    <n v="16667"/>
    <n v="1"/>
    <s v="Health"/>
    <d v="2022-01-04T00:00:00"/>
    <s v="Wellness Waves"/>
    <x v="1"/>
    <n v="3647.413"/>
    <n v="331.58300000000003"/>
    <n v="0.69"/>
  </r>
  <r>
    <s v="All Ages"/>
    <s v="Market Expansion"/>
    <s v="60 Days"/>
    <x v="3"/>
    <n v="0.09"/>
    <n v="14166.73"/>
    <n v="0.97"/>
    <n v="37012"/>
    <n v="111150"/>
    <n v="10"/>
    <s v="Health"/>
    <d v="2022-03-22T00:00:00"/>
    <s v="Aura Align"/>
    <x v="11"/>
    <n v="15583.403"/>
    <n v="1416.673"/>
    <n v="0.38"/>
  </r>
  <r>
    <s v="All Ages"/>
    <s v="Increase Sales"/>
    <s v="45 Days"/>
    <x v="3"/>
    <n v="0.09"/>
    <n v="7804.76"/>
    <n v="6.04"/>
    <n v="20382"/>
    <n v="61893"/>
    <n v="7"/>
    <s v="Fashion"/>
    <d v="2022-01-03T00:00:00"/>
    <s v="Mode Maven"/>
    <x v="1"/>
    <n v="8585.2360000000008"/>
    <n v="780.476"/>
    <n v="0.38"/>
  </r>
  <r>
    <s v="Women 35-44"/>
    <s v="Product Launch"/>
    <s v="30 Days"/>
    <x v="0"/>
    <n v="0.08"/>
    <n v="4882.4399999999996"/>
    <n v="0.37"/>
    <n v="12450"/>
    <n v="38397"/>
    <n v="3"/>
    <s v="Home"/>
    <d v="2022-10-05T00:00:00"/>
    <s v="Cozy Corners"/>
    <x v="5"/>
    <n v="5370.6840000000002"/>
    <n v="488.24400000000003"/>
    <n v="0.39"/>
  </r>
  <r>
    <s v="Women 18-24"/>
    <s v="Brand Awareness"/>
    <s v="60 Days"/>
    <x v="0"/>
    <n v="0.09"/>
    <n v="14054.41"/>
    <n v="7.07"/>
    <n v="36785"/>
    <n v="110478"/>
    <n v="3"/>
    <s v="Health"/>
    <d v="2022-05-02T00:00:00"/>
    <s v="Elixir Essence"/>
    <x v="4"/>
    <n v="15459.851000000001"/>
    <n v="1405.441"/>
    <n v="0.38"/>
  </r>
  <r>
    <s v="Men 35-44"/>
    <s v="Increase Sales"/>
    <s v="30 Days"/>
    <x v="3"/>
    <n v="0.06"/>
    <n v="4235.91"/>
    <n v="5.4"/>
    <n v="10694"/>
    <n v="33195"/>
    <n v="9"/>
    <s v="Fashion"/>
    <d v="2022-12-13T00:00:00"/>
    <s v="Trend Tailors"/>
    <x v="7"/>
    <n v="4659.5010000000002"/>
    <n v="423.59100000000001"/>
    <n v="0.4"/>
  </r>
  <r>
    <s v="Women 25-34"/>
    <s v="Increase Sales"/>
    <s v="15 Days"/>
    <x v="0"/>
    <n v="0.02"/>
    <n v="2935.93"/>
    <n v="2.3199999999999998"/>
    <n v="7208"/>
    <n v="22869"/>
    <n v="10"/>
    <s v="Technology"/>
    <d v="2022-07-16T00:00:00"/>
    <s v="Gadget Giants"/>
    <x v="0"/>
    <n v="3229.5230000000001"/>
    <n v="293.59300000000002"/>
    <n v="0.41"/>
  </r>
  <r>
    <s v="Men 45-60"/>
    <s v="Market Expansion"/>
    <s v="30 Days"/>
    <x v="1"/>
    <n v="0.1"/>
    <n v="4652.4399999999996"/>
    <n v="7.96"/>
    <n v="11823"/>
    <n v="36541"/>
    <n v="3"/>
    <s v="Health"/>
    <d v="2022-02-20T00:00:00"/>
    <s v="Well Wish"/>
    <x v="6"/>
    <n v="5117.6840000000002"/>
    <n v="465.24400000000003"/>
    <n v="0.39"/>
  </r>
  <r>
    <s v="Men 18-24"/>
    <s v="Brand Awareness"/>
    <s v="45 Days"/>
    <x v="3"/>
    <n v="0.01"/>
    <n v="10319.48"/>
    <n v="2.57"/>
    <n v="27218"/>
    <n v="82141"/>
    <n v="10"/>
    <s v="Health"/>
    <d v="2022-07-12T00:00:00"/>
    <s v="Well Wish"/>
    <x v="0"/>
    <n v="11351.428"/>
    <n v="1031.9480000000001"/>
    <n v="0.38"/>
  </r>
  <r>
    <s v="Women 25-34"/>
    <s v="Brand Awareness"/>
    <s v="15 Days"/>
    <x v="1"/>
    <n v="0.15"/>
    <n v="3031.44"/>
    <n v="7.15"/>
    <n v="7464"/>
    <n v="23628"/>
    <n v="7"/>
    <s v="Health"/>
    <d v="2022-03-24T00:00:00"/>
    <s v="Wellness Waves"/>
    <x v="11"/>
    <n v="3334.5839999999998"/>
    <n v="303.14400000000001"/>
    <n v="0.41"/>
  </r>
  <r>
    <s v="Women 25-34"/>
    <s v="Increase Sales"/>
    <s v="45 Days"/>
    <x v="1"/>
    <n v="0.13"/>
    <n v="7879.7"/>
    <n v="6.11"/>
    <n v="20581"/>
    <n v="62482"/>
    <n v="3"/>
    <s v="Technology"/>
    <d v="2022-08-31T00:00:00"/>
    <s v="Code Crafters"/>
    <x v="2"/>
    <n v="8667.67"/>
    <n v="787.97"/>
    <n v="0.38"/>
  </r>
  <r>
    <s v="Women 45-60"/>
    <s v="Market Expansion"/>
    <s v="30 Days"/>
    <x v="2"/>
    <n v="7.0000000000000007E-2"/>
    <n v="7560.31"/>
    <n v="0.24488375122803699"/>
    <n v="11575"/>
    <n v="38674"/>
    <n v="1"/>
    <s v="Food"/>
    <d v="2022-04-05T00:00:00"/>
    <s v="Gourmet Grove"/>
    <x v="10"/>
    <n v="8316.3410000000003"/>
    <n v="756.03099999999995"/>
    <n v="0.65"/>
  </r>
  <r>
    <s v="Men 45-60"/>
    <s v="Market Expansion"/>
    <s v="30 Days"/>
    <x v="2"/>
    <n v="0.08"/>
    <n v="6962.07"/>
    <n v="1.7874726367009999E-2"/>
    <n v="10627"/>
    <n v="35584"/>
    <n v="1"/>
    <s v="Health"/>
    <d v="2022-11-23T00:00:00"/>
    <s v="Well Wish"/>
    <x v="3"/>
    <n v="7658.277"/>
    <n v="696.20699999999999"/>
    <n v="0.66"/>
  </r>
  <r>
    <s v="Men 45-60"/>
    <s v="Product Launch"/>
    <s v="30 Days"/>
    <x v="0"/>
    <n v="0.05"/>
    <n v="5954.27"/>
    <n v="6.26"/>
    <n v="15381"/>
    <n v="47079"/>
    <n v="4"/>
    <s v="Home"/>
    <d v="2022-08-12T00:00:00"/>
    <s v="Space Spruce"/>
    <x v="2"/>
    <n v="6549.6970000000001"/>
    <n v="595.42700000000002"/>
    <n v="0.39"/>
  </r>
  <r>
    <s v="Men 18-24"/>
    <s v="Product Launch"/>
    <s v="45 Days"/>
    <x v="3"/>
    <n v="7.0000000000000007E-2"/>
    <n v="10984.08"/>
    <n v="4.74"/>
    <n v="29026"/>
    <n v="87495"/>
    <n v="6"/>
    <s v="Fashion"/>
    <d v="2022-07-05T00:00:00"/>
    <s v="Vogue Visions"/>
    <x v="0"/>
    <n v="12082.487999999999"/>
    <n v="1098.4079999999999"/>
    <n v="0.38"/>
  </r>
  <r>
    <s v="All Ages"/>
    <s v="Product Launch"/>
    <s v="45 Days"/>
    <x v="0"/>
    <n v="0.04"/>
    <n v="8913.85"/>
    <n v="3.23"/>
    <n v="23394"/>
    <n v="70812"/>
    <n v="10"/>
    <s v="Fashion"/>
    <d v="2022-03-23T00:00:00"/>
    <s v="Vogue Visions"/>
    <x v="11"/>
    <n v="9805.2350000000006"/>
    <n v="891.38499999999999"/>
    <n v="0.38"/>
  </r>
  <r>
    <s v="Men 45-60"/>
    <s v="Brand Awareness"/>
    <s v="15 Days"/>
    <x v="0"/>
    <n v="0.1"/>
    <n v="4071.94"/>
    <n v="0.87"/>
    <n v="10237"/>
    <n v="31842"/>
    <n v="2"/>
    <s v="Food"/>
    <d v="2022-05-16T00:00:00"/>
    <s v="Nosh Nirvana"/>
    <x v="4"/>
    <n v="4479.134"/>
    <n v="407.19399999999899"/>
    <n v="0.4"/>
  </r>
  <r>
    <s v="Women 45-60"/>
    <s v="Brand Awareness"/>
    <s v="60 Days"/>
    <x v="0"/>
    <n v="0.08"/>
    <n v="13005.14"/>
    <n v="0.78"/>
    <n v="34390"/>
    <n v="103385"/>
    <n v="7"/>
    <s v="Health"/>
    <d v="2022-02-18T00:00:00"/>
    <s v="Fitness Front"/>
    <x v="6"/>
    <n v="14305.654"/>
    <n v="1300.5139999999999"/>
    <n v="0.38"/>
  </r>
  <r>
    <s v="Women 25-34"/>
    <s v="Increase Sales"/>
    <s v="30 Days"/>
    <x v="2"/>
    <n v="0.14000000000000001"/>
    <n v="5506.23"/>
    <n v="1.0599712735636899"/>
    <n v="8310"/>
    <n v="28039"/>
    <n v="1"/>
    <s v="Health"/>
    <d v="2022-12-12T00:00:00"/>
    <s v="Aura Align"/>
    <x v="7"/>
    <n v="6056.8530000000001"/>
    <n v="550.62300000000005"/>
    <n v="0.66"/>
  </r>
  <r>
    <s v="Women 45-60"/>
    <s v="Increase Sales"/>
    <s v="60 Days"/>
    <x v="2"/>
    <n v="0.04"/>
    <n v="14490.02"/>
    <n v="0.63991520393895995"/>
    <n v="22094"/>
    <n v="72922"/>
    <n v="1"/>
    <s v="Food"/>
    <d v="2022-03-26T00:00:00"/>
    <s v="Gastronomy Guild"/>
    <x v="11"/>
    <n v="15939.022000000001"/>
    <n v="1449.002"/>
    <n v="0.66"/>
  </r>
  <r>
    <s v="Women 45-60"/>
    <s v="Product Launch"/>
    <s v="30 Days"/>
    <x v="3"/>
    <n v="0.03"/>
    <n v="5526.07"/>
    <n v="0.56000000000000005"/>
    <n v="14203"/>
    <n v="43590"/>
    <n v="8"/>
    <s v="Food"/>
    <d v="2022-07-12T00:00:00"/>
    <s v="Palate Paradise"/>
    <x v="0"/>
    <n v="6078.6769999999997"/>
    <n v="552.60699999999997"/>
    <n v="0.39"/>
  </r>
  <r>
    <s v="Women 18-24"/>
    <s v="Product Launch"/>
    <s v="30 Days"/>
    <x v="1"/>
    <n v="0.02"/>
    <n v="4533.4399999999996"/>
    <n v="7.82"/>
    <n v="11502"/>
    <n v="35589"/>
    <n v="8"/>
    <s v="Food"/>
    <d v="2022-04-19T00:00:00"/>
    <s v="Nosh Nirvana"/>
    <x v="10"/>
    <n v="4986.7839999999997"/>
    <n v="453.34399999999999"/>
    <n v="0.39"/>
  </r>
  <r>
    <s v="Women 25-34"/>
    <s v="Increase Sales"/>
    <s v="15 Days"/>
    <x v="1"/>
    <n v="0.08"/>
    <n v="1709.42"/>
    <n v="0.19"/>
    <n v="4244"/>
    <n v="14090"/>
    <n v="9"/>
    <s v="Food"/>
    <d v="2022-07-25T00:00:00"/>
    <s v="Bistro Bliss"/>
    <x v="0"/>
    <n v="1880.3620000000001"/>
    <n v="170.94200000000001"/>
    <n v="0.4"/>
  </r>
  <r>
    <s v="Men 18-24"/>
    <s v="Increase Sales"/>
    <s v="45 Days"/>
    <x v="3"/>
    <n v="0.04"/>
    <n v="10484.469999999999"/>
    <n v="3.98"/>
    <n v="27675"/>
    <n v="83494"/>
    <n v="6"/>
    <s v="Health"/>
    <d v="2022-09-29T00:00:00"/>
    <s v="Well Wish"/>
    <x v="8"/>
    <n v="11532.916999999999"/>
    <n v="1048.4469999999999"/>
    <n v="0.38"/>
  </r>
  <r>
    <s v="Men 35-44"/>
    <s v="Brand Awareness"/>
    <s v="60 Days"/>
    <x v="2"/>
    <n v="0.08"/>
    <n v="12112.07"/>
    <n v="1.0367341292865799"/>
    <n v="18831"/>
    <n v="62298"/>
    <n v="1"/>
    <s v="Fashion"/>
    <d v="2022-12-14T00:00:00"/>
    <s v="Mode Maven"/>
    <x v="7"/>
    <n v="13323.277"/>
    <n v="1211.2070000000001"/>
    <n v="0.64"/>
  </r>
  <r>
    <s v="Women 25-34"/>
    <s v="Brand Awareness"/>
    <s v="15 Days"/>
    <x v="0"/>
    <n v="0.05"/>
    <n v="2122.96"/>
    <n v="3.72"/>
    <n v="5195"/>
    <n v="16907"/>
    <n v="1"/>
    <s v="Technology"/>
    <d v="2022-04-16T00:00:00"/>
    <s v="Silicon Saga"/>
    <x v="10"/>
    <n v="2335.2559999999999"/>
    <n v="212.29599999999999"/>
    <n v="0.41"/>
  </r>
  <r>
    <s v="Men 45-60"/>
    <s v="Product Launch"/>
    <s v="60 Days"/>
    <x v="0"/>
    <n v="0.12"/>
    <n v="13579.08"/>
    <n v="1.38"/>
    <n v="35767"/>
    <n v="107464"/>
    <n v="5"/>
    <s v="Home"/>
    <d v="2022-03-23T00:00:00"/>
    <s v="Nest Neat"/>
    <x v="11"/>
    <n v="14936.987999999999"/>
    <n v="1357.9079999999999"/>
    <n v="0.38"/>
  </r>
  <r>
    <s v="Men 25-34"/>
    <s v="Market Expansion"/>
    <s v="15 Days"/>
    <x v="1"/>
    <n v="0.04"/>
    <n v="1550.26"/>
    <n v="2.5299999999999998"/>
    <n v="3917"/>
    <n v="13121"/>
    <n v="9"/>
    <s v="Home"/>
    <d v="2022-09-29T00:00:00"/>
    <s v="Dwell Delight"/>
    <x v="8"/>
    <n v="1705.2860000000001"/>
    <n v="155.02600000000001"/>
    <n v="0.4"/>
  </r>
  <r>
    <s v="Men 35-44"/>
    <s v="Market Expansion"/>
    <s v="30 Days"/>
    <x v="3"/>
    <n v="0.04"/>
    <n v="5756.99"/>
    <n v="0.5"/>
    <n v="14831"/>
    <n v="45448"/>
    <n v="5"/>
    <s v="Fashion"/>
    <d v="2022-10-01T00:00:00"/>
    <s v="Chic Couture"/>
    <x v="5"/>
    <n v="6332.6890000000003"/>
    <n v="575.69899999999996"/>
    <n v="0.39"/>
  </r>
  <r>
    <s v="Men 45-60"/>
    <s v="Increase Sales"/>
    <s v="15 Days"/>
    <x v="3"/>
    <n v="0.11"/>
    <n v="2915.33"/>
    <n v="4.74"/>
    <n v="7157"/>
    <n v="22720"/>
    <n v="1"/>
    <s v="Food"/>
    <d v="2022-04-17T00:00:00"/>
    <s v="Gastronomy Guild"/>
    <x v="10"/>
    <n v="3206.8629999999998"/>
    <n v="291.53300000000002"/>
    <n v="0.41"/>
  </r>
  <r>
    <s v="Women 25-34"/>
    <s v="Market Expansion"/>
    <s v="60 Days"/>
    <x v="0"/>
    <n v="0.06"/>
    <n v="12202.23"/>
    <n v="4.84"/>
    <n v="32307"/>
    <n v="97214"/>
    <n v="1"/>
    <s v="Home"/>
    <d v="2022-09-19T00:00:00"/>
    <s v="Furnish Fine"/>
    <x v="8"/>
    <n v="13422.453"/>
    <n v="1220.223"/>
    <n v="0.38"/>
  </r>
  <r>
    <s v="Women 35-44"/>
    <s v="Brand Awareness"/>
    <s v="45 Days"/>
    <x v="2"/>
    <n v="0.12"/>
    <n v="10885.52"/>
    <n v="0.62382795020865101"/>
    <n v="16892"/>
    <n v="55986"/>
    <n v="1"/>
    <s v="Health"/>
    <d v="2022-03-17T00:00:00"/>
    <s v="Elixir Essence"/>
    <x v="11"/>
    <n v="11974.072"/>
    <n v="1088.5519999999999"/>
    <n v="0.64"/>
  </r>
  <r>
    <s v="Men 25-34"/>
    <s v="Increase Sales"/>
    <s v="15 Days"/>
    <x v="3"/>
    <n v="0.12"/>
    <n v="763.45"/>
    <n v="2.13"/>
    <n v="2462"/>
    <n v="8812"/>
    <n v="3"/>
    <s v="Food"/>
    <d v="2022-03-29T00:00:00"/>
    <s v="Nosh Nirvana"/>
    <x v="11"/>
    <n v="839.79499999999996"/>
    <n v="76.344999999999999"/>
    <n v="0.31"/>
  </r>
  <r>
    <s v="Men 25-34"/>
    <s v="Brand Awareness"/>
    <s v="30 Days"/>
    <x v="1"/>
    <n v="7.0000000000000007E-2"/>
    <n v="7382.85"/>
    <n v="1.53"/>
    <n v="19225"/>
    <n v="58464"/>
    <n v="8"/>
    <s v="Health"/>
    <d v="2022-11-05T00:00:00"/>
    <s v="Wellness Waves"/>
    <x v="3"/>
    <n v="8121.1350000000002"/>
    <n v="738.28499999999997"/>
    <n v="0.38"/>
  </r>
  <r>
    <s v="Women 25-34"/>
    <s v="Increase Sales"/>
    <s v="15 Days"/>
    <x v="0"/>
    <n v="0.04"/>
    <n v="3075.93"/>
    <n v="6.22"/>
    <n v="7575"/>
    <n v="23959"/>
    <n v="8"/>
    <s v="Technology"/>
    <d v="2022-05-06T00:00:00"/>
    <s v="NexGen Nerds"/>
    <x v="4"/>
    <n v="3383.5230000000001"/>
    <n v="307.59300000000002"/>
    <n v="0.41"/>
  </r>
  <r>
    <s v="Men 18-24"/>
    <s v="Brand Awareness"/>
    <s v="15 Days"/>
    <x v="0"/>
    <n v="0.04"/>
    <n v="997.86"/>
    <n v="1.95"/>
    <n v="2859"/>
    <n v="9987"/>
    <n v="8"/>
    <s v="Home"/>
    <d v="2022-12-25T00:00:00"/>
    <s v="Dwell Delight"/>
    <x v="7"/>
    <n v="1097.646"/>
    <n v="99.786000000000101"/>
    <n v="0.35"/>
  </r>
  <r>
    <s v="Women 45-60"/>
    <s v="Increase Sales"/>
    <s v="15 Days"/>
    <x v="3"/>
    <n v="0.06"/>
    <n v="2707.85"/>
    <n v="5.28"/>
    <n v="6626"/>
    <n v="21145"/>
    <n v="5"/>
    <s v="Fashion"/>
    <d v="2022-05-29T00:00:00"/>
    <s v="Attire Artistry"/>
    <x v="4"/>
    <n v="2978.6350000000002"/>
    <n v="270.78500000000003"/>
    <n v="0.41"/>
  </r>
  <r>
    <s v="Men 45-60"/>
    <s v="Brand Awareness"/>
    <s v="60 Days"/>
    <x v="3"/>
    <n v="0.06"/>
    <n v="12840.57"/>
    <n v="0.45"/>
    <n v="33977"/>
    <n v="102160"/>
    <n v="1"/>
    <s v="Home"/>
    <d v="2022-05-06T00:00:00"/>
    <s v="Homely Haven"/>
    <x v="4"/>
    <n v="14124.627"/>
    <n v="1284.057"/>
    <n v="0.38"/>
  </r>
  <r>
    <s v="All Ages"/>
    <s v="Increase Sales"/>
    <s v="30 Days"/>
    <x v="1"/>
    <n v="0.14000000000000001"/>
    <n v="6187.27"/>
    <n v="6.13"/>
    <n v="16001"/>
    <n v="48915"/>
    <n v="1"/>
    <s v="Health"/>
    <d v="2022-03-22T00:00:00"/>
    <s v="Pulse Point"/>
    <x v="11"/>
    <n v="6805.9970000000003"/>
    <n v="618.72699999999998"/>
    <n v="0.39"/>
  </r>
  <r>
    <s v="Women 18-24"/>
    <s v="Product Launch"/>
    <s v="30 Days"/>
    <x v="2"/>
    <n v="0.04"/>
    <n v="4589.29"/>
    <n v="1.31736733324864"/>
    <n v="6844"/>
    <n v="23269"/>
    <n v="1"/>
    <s v="Health"/>
    <d v="2022-01-06T00:00:00"/>
    <s v="Fitness Front"/>
    <x v="1"/>
    <n v="5048.2190000000001"/>
    <n v="458.92899999999997"/>
    <n v="0.67"/>
  </r>
  <r>
    <s v="All Ages"/>
    <s v="Increase Sales"/>
    <s v="60 Days"/>
    <x v="0"/>
    <n v="0.09"/>
    <n v="14590.8"/>
    <n v="2.37"/>
    <n v="37791"/>
    <n v="113459"/>
    <n v="1"/>
    <s v="Home"/>
    <d v="2022-06-14T00:00:00"/>
    <s v="Dwell Delight"/>
    <x v="9"/>
    <n v="16049.88"/>
    <n v="1459.08"/>
    <n v="0.39"/>
  </r>
  <r>
    <s v="Women 25-34"/>
    <s v="Increase Sales"/>
    <s v="45 Days"/>
    <x v="2"/>
    <n v="0.08"/>
    <n v="8941.86"/>
    <n v="0.235946388044532"/>
    <n v="13788"/>
    <n v="45876"/>
    <n v="1"/>
    <s v="Fashion"/>
    <d v="2022-02-01T00:00:00"/>
    <s v="Style Sphere"/>
    <x v="6"/>
    <n v="9836.0460000000003"/>
    <n v="894.18600000000094"/>
    <n v="0.65"/>
  </r>
  <r>
    <s v="Women 35-44"/>
    <s v="Brand Awareness"/>
    <s v="30 Days"/>
    <x v="0"/>
    <n v="0.06"/>
    <n v="6441.36"/>
    <n v="7.34"/>
    <n v="16687"/>
    <n v="50948"/>
    <n v="10"/>
    <s v="Food"/>
    <d v="2022-07-22T00:00:00"/>
    <s v="Culinary Quest"/>
    <x v="0"/>
    <n v="7085.4960000000001"/>
    <n v="644.13599999999997"/>
    <n v="0.39"/>
  </r>
  <r>
    <s v="Women 35-44"/>
    <s v="Product Launch"/>
    <s v="15 Days"/>
    <x v="0"/>
    <n v="0.14000000000000001"/>
    <n v="500"/>
    <n v="3.82"/>
    <n v="754"/>
    <n v="3754"/>
    <n v="9"/>
    <s v="Health"/>
    <d v="2022-05-02T00:00:00"/>
    <s v="Balance Beam"/>
    <x v="4"/>
    <n v="550"/>
    <n v="50"/>
    <n v="0.66"/>
  </r>
  <r>
    <s v="Men 25-34"/>
    <s v="Market Expansion"/>
    <s v="60 Days"/>
    <x v="3"/>
    <n v="0.1"/>
    <n v="14066.87"/>
    <n v="5.49"/>
    <n v="36812"/>
    <n v="110559"/>
    <n v="6"/>
    <s v="Health"/>
    <d v="2022-02-17T00:00:00"/>
    <s v="Heal Hub"/>
    <x v="6"/>
    <n v="15473.557000000001"/>
    <n v="1406.6869999999999"/>
    <n v="0.38"/>
  </r>
  <r>
    <s v="Women 45-60"/>
    <s v="Product Launch"/>
    <s v="30 Days"/>
    <x v="1"/>
    <n v="0.05"/>
    <n v="6455.9"/>
    <n v="7.54"/>
    <n v="16725"/>
    <n v="51059"/>
    <n v="9"/>
    <s v="Home"/>
    <d v="2022-05-05T00:00:00"/>
    <s v="Hearth Harmony"/>
    <x v="4"/>
    <n v="7101.49"/>
    <n v="645.59"/>
    <n v="0.39"/>
  </r>
  <r>
    <s v="Women 45-60"/>
    <s v="Product Launch"/>
    <s v="15 Days"/>
    <x v="2"/>
    <n v="0.09"/>
    <n v="1465.79"/>
    <n v="0.91697346262761603"/>
    <n v="2196"/>
    <n v="8131"/>
    <n v="1"/>
    <s v="Food"/>
    <d v="2022-12-20T00:00:00"/>
    <s v="Nosh Nirvana"/>
    <x v="7"/>
    <n v="1612.3689999999999"/>
    <n v="146.57900000000001"/>
    <n v="0.67"/>
  </r>
  <r>
    <s v="All Ages"/>
    <s v="Brand Awareness"/>
    <s v="60 Days"/>
    <x v="2"/>
    <n v="0.12"/>
    <n v="11676.73"/>
    <n v="0.93484818899462596"/>
    <n v="18156"/>
    <n v="60100"/>
    <n v="1"/>
    <s v="Home"/>
    <d v="2022-04-16T00:00:00"/>
    <s v="Cozy Corners"/>
    <x v="10"/>
    <n v="12844.403"/>
    <n v="1167.673"/>
    <n v="0.64"/>
  </r>
  <r>
    <s v="Women 35-44"/>
    <s v="Increase Sales"/>
    <s v="15 Days"/>
    <x v="1"/>
    <n v="0.14000000000000001"/>
    <n v="3231.1"/>
    <n v="0.56999999999999995"/>
    <n v="7975"/>
    <n v="25141"/>
    <n v="6"/>
    <s v="Technology"/>
    <d v="2022-01-31T00:00:00"/>
    <s v="Innovate Infinity"/>
    <x v="1"/>
    <n v="3554.21"/>
    <n v="323.11"/>
    <n v="0.41"/>
  </r>
  <r>
    <s v="All Ages"/>
    <s v="Product Launch"/>
    <s v="30 Days"/>
    <x v="0"/>
    <n v="0.1"/>
    <n v="7638.84"/>
    <n v="4.4800000000000004"/>
    <n v="19921"/>
    <n v="60526"/>
    <n v="1"/>
    <s v="Food"/>
    <d v="2022-07-20T00:00:00"/>
    <s v="Epicurean Edge"/>
    <x v="0"/>
    <n v="8402.7240000000002"/>
    <n v="763.88400000000001"/>
    <n v="0.38"/>
  </r>
  <r>
    <s v="Men 35-44"/>
    <s v="Increase Sales"/>
    <s v="30 Days"/>
    <x v="1"/>
    <n v="0.11"/>
    <n v="4638.83"/>
    <n v="7.86"/>
    <n v="11789"/>
    <n v="36439"/>
    <n v="5"/>
    <s v="Health"/>
    <d v="2022-02-14T00:00:00"/>
    <s v="Elixir Essence"/>
    <x v="6"/>
    <n v="5102.7129999999997"/>
    <n v="463.88299999999998"/>
    <n v="0.39"/>
  </r>
  <r>
    <s v="Women 45-60"/>
    <s v="Increase Sales"/>
    <s v="15 Days"/>
    <x v="1"/>
    <n v="0.11"/>
    <n v="3868.25"/>
    <n v="5.4"/>
    <n v="9679"/>
    <n v="30189"/>
    <n v="5"/>
    <s v="Fashion"/>
    <d v="2022-09-11T00:00:00"/>
    <s v="Trend Tailors"/>
    <x v="8"/>
    <n v="4255.0749999999998"/>
    <n v="386.82499999999999"/>
    <n v="0.4"/>
  </r>
  <r>
    <s v="Men 45-60"/>
    <s v="Increase Sales"/>
    <s v="60 Days"/>
    <x v="2"/>
    <n v="0.11"/>
    <n v="13376.98"/>
    <n v="1.13683259694184"/>
    <n v="20729"/>
    <n v="68477"/>
    <n v="1"/>
    <s v="Fashion"/>
    <d v="2022-07-30T00:00:00"/>
    <s v="Trend Tailors"/>
    <x v="0"/>
    <n v="14714.678"/>
    <n v="1337.6980000000001"/>
    <n v="0.65"/>
  </r>
  <r>
    <s v="Women 35-44"/>
    <s v="Brand Awareness"/>
    <s v="15 Days"/>
    <x v="2"/>
    <n v="7.0000000000000007E-2"/>
    <n v="3673.92"/>
    <n v="4.4686815917525102E-2"/>
    <n v="5376"/>
    <n v="18489"/>
    <n v="1"/>
    <s v="Home"/>
    <d v="2022-07-30T00:00:00"/>
    <s v="Nest Neat"/>
    <x v="0"/>
    <n v="4041.3119999999999"/>
    <n v="367.392"/>
    <n v="0.68"/>
  </r>
  <r>
    <s v="Women 35-44"/>
    <s v="Market Expansion"/>
    <s v="30 Days"/>
    <x v="3"/>
    <n v="0.14000000000000001"/>
    <n v="5291.16"/>
    <n v="1.99"/>
    <n v="13568"/>
    <n v="41709"/>
    <n v="7"/>
    <s v="Health"/>
    <d v="2022-10-24T00:00:00"/>
    <s v="Pulse Point"/>
    <x v="5"/>
    <n v="5820.2759999999998"/>
    <n v="529.11599999999999"/>
    <n v="0.39"/>
  </r>
  <r>
    <s v="Women 35-44"/>
    <s v="Brand Awareness"/>
    <s v="45 Days"/>
    <x v="3"/>
    <n v="0.02"/>
    <n v="11307.54"/>
    <n v="6.85"/>
    <n v="29915"/>
    <n v="90130"/>
    <n v="4"/>
    <s v="Food"/>
    <d v="2022-08-13T00:00:00"/>
    <s v="Gourmet Grove"/>
    <x v="2"/>
    <n v="12438.294"/>
    <n v="1130.7539999999999"/>
    <n v="0.38"/>
  </r>
  <r>
    <s v="Men 25-34"/>
    <s v="Market Expansion"/>
    <s v="30 Days"/>
    <x v="3"/>
    <n v="0.01"/>
    <n v="6133.43"/>
    <n v="7.51"/>
    <n v="15858"/>
    <n v="48492"/>
    <n v="4"/>
    <s v="Fashion"/>
    <d v="2022-09-26T00:00:00"/>
    <s v="Mode Maven"/>
    <x v="8"/>
    <n v="6746.7730000000001"/>
    <n v="613.34299999999996"/>
    <n v="0.39"/>
  </r>
  <r>
    <s v="Women 45-60"/>
    <s v="Market Expansion"/>
    <s v="30 Days"/>
    <x v="1"/>
    <n v="0.14000000000000001"/>
    <n v="4167.01"/>
    <n v="0.17"/>
    <n v="10500"/>
    <n v="32622"/>
    <n v="9"/>
    <s v="Fashion"/>
    <d v="2022-12-12T00:00:00"/>
    <s v="Mode Maven"/>
    <x v="7"/>
    <n v="4583.7110000000002"/>
    <n v="416.70100000000002"/>
    <n v="0.4"/>
  </r>
  <r>
    <s v="Women 18-24"/>
    <s v="Brand Awareness"/>
    <s v="30 Days"/>
    <x v="2"/>
    <n v="0.04"/>
    <n v="6570.66"/>
    <n v="0.23415891540783099"/>
    <n v="10001"/>
    <n v="33545"/>
    <n v="1"/>
    <s v="Health"/>
    <d v="2022-01-13T00:00:00"/>
    <s v="Heal Hub"/>
    <x v="1"/>
    <n v="7227.7259999999997"/>
    <n v="657.06600000000003"/>
    <n v="0.66"/>
  </r>
  <r>
    <s v="Women 45-60"/>
    <s v="Market Expansion"/>
    <s v="60 Days"/>
    <x v="1"/>
    <n v="0.02"/>
    <n v="11940.03"/>
    <n v="5.48"/>
    <n v="31614"/>
    <n v="95161"/>
    <n v="10"/>
    <s v="Technology"/>
    <d v="2022-07-21T00:00:00"/>
    <s v="Cyber Circuit"/>
    <x v="0"/>
    <n v="13134.032999999999"/>
    <n v="1194.0029999999999"/>
    <n v="0.38"/>
  </r>
  <r>
    <s v="Men 18-24"/>
    <s v="Increase Sales"/>
    <s v="30 Days"/>
    <x v="0"/>
    <n v="0.1"/>
    <n v="4215.75"/>
    <n v="0.56999999999999995"/>
    <n v="10631"/>
    <n v="33009"/>
    <n v="2"/>
    <s v="Health"/>
    <d v="2022-06-09T00:00:00"/>
    <s v="Balance Beam"/>
    <x v="9"/>
    <n v="4637.3249999999998"/>
    <n v="421.57499999999999"/>
    <n v="0.4"/>
  </r>
  <r>
    <s v="Men 45-60"/>
    <s v="Increase Sales"/>
    <s v="30 Days"/>
    <x v="0"/>
    <n v="0.13"/>
    <n v="7543.09"/>
    <n v="4.8600000000000003"/>
    <n v="19661"/>
    <n v="59755"/>
    <n v="9"/>
    <s v="Technology"/>
    <d v="2022-09-29T00:00:00"/>
    <s v="Tech Titans"/>
    <x v="8"/>
    <n v="8297.3989999999994"/>
    <n v="754.30900000000099"/>
    <n v="0.38"/>
  </r>
  <r>
    <s v="Men 35-44"/>
    <s v="Market Expansion"/>
    <s v="45 Days"/>
    <x v="3"/>
    <n v="0.11"/>
    <n v="8451.9500000000007"/>
    <n v="0.57999999999999996"/>
    <n v="22156"/>
    <n v="67147"/>
    <n v="4"/>
    <s v="Fashion"/>
    <d v="2022-05-03T00:00:00"/>
    <s v="Silk &amp; Style"/>
    <x v="4"/>
    <n v="9297.1450000000004"/>
    <n v="845.19500000000096"/>
    <n v="0.38"/>
  </r>
  <r>
    <s v="All Ages"/>
    <s v="Product Launch"/>
    <s v="60 Days"/>
    <x v="3"/>
    <n v="0.13"/>
    <n v="14533.87"/>
    <n v="4.71"/>
    <n v="37693"/>
    <n v="113166"/>
    <n v="4"/>
    <s v="Health"/>
    <d v="2022-06-01T00:00:00"/>
    <s v="Fitness Front"/>
    <x v="9"/>
    <n v="15987.257"/>
    <n v="1453.3869999999999"/>
    <n v="0.39"/>
  </r>
  <r>
    <s v="Women 25-34"/>
    <s v="Product Launch"/>
    <s v="30 Days"/>
    <x v="2"/>
    <n v="0.12"/>
    <n v="5817.39"/>
    <n v="0.45223057708535402"/>
    <n v="8808"/>
    <n v="29660"/>
    <n v="1"/>
    <s v="Technology"/>
    <d v="2022-09-11T00:00:00"/>
    <s v="Cyber Circuit"/>
    <x v="8"/>
    <n v="6399.1289999999999"/>
    <n v="581.73900000000003"/>
    <n v="0.66"/>
  </r>
  <r>
    <s v="Men 25-34"/>
    <s v="Brand Awareness"/>
    <s v="60 Days"/>
    <x v="0"/>
    <n v="0.05"/>
    <n v="14127.38"/>
    <n v="2.13"/>
    <n v="36934"/>
    <n v="110919"/>
    <n v="7"/>
    <s v="Fashion"/>
    <d v="2022-11-01T00:00:00"/>
    <s v="Chic Couture"/>
    <x v="3"/>
    <n v="15540.118"/>
    <n v="1412.7380000000001"/>
    <n v="0.38"/>
  </r>
  <r>
    <s v="Women 35-44"/>
    <s v="Market Expansion"/>
    <s v="15 Days"/>
    <x v="1"/>
    <n v="0.13"/>
    <n v="1232.07"/>
    <n v="7.69"/>
    <n v="3283"/>
    <n v="11245"/>
    <n v="8"/>
    <s v="Home"/>
    <d v="2022-05-24T00:00:00"/>
    <s v="Homely Haven"/>
    <x v="4"/>
    <n v="1355.277"/>
    <n v="123.20699999999999"/>
    <n v="0.38"/>
  </r>
  <r>
    <s v="Men 35-44"/>
    <s v="Product Launch"/>
    <s v="45 Days"/>
    <x v="0"/>
    <n v="0.09"/>
    <n v="7816.55"/>
    <n v="4.75"/>
    <n v="20413"/>
    <n v="61983"/>
    <n v="9"/>
    <s v="Home"/>
    <d v="2022-12-04T00:00:00"/>
    <s v="Furnish Fine"/>
    <x v="7"/>
    <n v="8598.2049999999999"/>
    <n v="781.655000000001"/>
    <n v="0.38"/>
  </r>
  <r>
    <s v="Women 18-24"/>
    <s v="Product Launch"/>
    <s v="60 Days"/>
    <x v="1"/>
    <n v="0.06"/>
    <n v="14825.46"/>
    <n v="3.5"/>
    <n v="38161"/>
    <n v="114553"/>
    <n v="7"/>
    <s v="Home"/>
    <d v="2022-04-27T00:00:00"/>
    <s v="Dwell Delight"/>
    <x v="10"/>
    <n v="16308.005999999999"/>
    <n v="1482.546"/>
    <n v="0.39"/>
  </r>
  <r>
    <s v="Men 35-44"/>
    <s v="Increase Sales"/>
    <s v="30 Days"/>
    <x v="0"/>
    <n v="0.1"/>
    <n v="5039.72"/>
    <n v="1.06"/>
    <n v="12877"/>
    <n v="39663"/>
    <n v="9"/>
    <s v="Home"/>
    <d v="2022-01-21T00:00:00"/>
    <s v="Living Luxe"/>
    <x v="1"/>
    <n v="5543.692"/>
    <n v="503.97199999999998"/>
    <n v="0.39"/>
  </r>
  <r>
    <s v="Men 35-44"/>
    <s v="Market Expansion"/>
    <s v="30 Days"/>
    <x v="0"/>
    <n v="0.12"/>
    <n v="5780.88"/>
    <n v="1.81"/>
    <n v="14896"/>
    <n v="45641"/>
    <n v="9"/>
    <s v="Fashion"/>
    <d v="2022-04-01T00:00:00"/>
    <s v="Glam Garments"/>
    <x v="10"/>
    <n v="6358.9679999999998"/>
    <n v="578.08799999999997"/>
    <n v="0.39"/>
  </r>
  <r>
    <s v="Men 45-60"/>
    <s v="Brand Awareness"/>
    <s v="30 Days"/>
    <x v="1"/>
    <n v="0.09"/>
    <n v="7706.52"/>
    <n v="6.24"/>
    <n v="20108"/>
    <n v="61082"/>
    <n v="10"/>
    <s v="Food"/>
    <d v="2022-02-06T00:00:00"/>
    <s v="Nosh Nirvana"/>
    <x v="6"/>
    <n v="8477.1720000000005"/>
    <n v="770.65200000000004"/>
    <n v="0.38"/>
  </r>
  <r>
    <s v="Women 35-44"/>
    <s v="Increase Sales"/>
    <s v="60 Days"/>
    <x v="1"/>
    <n v="0.03"/>
    <n v="14826.27"/>
    <n v="4.8099999999999996"/>
    <n v="38161"/>
    <n v="114555"/>
    <n v="10"/>
    <s v="Home"/>
    <d v="2022-06-17T00:00:00"/>
    <s v="Hearth Harmony"/>
    <x v="9"/>
    <n v="16308.897000000001"/>
    <n v="1482.627"/>
    <n v="0.39"/>
  </r>
  <r>
    <s v="Women 18-24"/>
    <s v="Market Expansion"/>
    <s v="15 Days"/>
    <x v="0"/>
    <n v="0.03"/>
    <n v="1755.53"/>
    <n v="1.91"/>
    <n v="4339"/>
    <n v="14373"/>
    <n v="9"/>
    <s v="Technology"/>
    <d v="2022-07-13T00:00:00"/>
    <s v="NexGen Nerds"/>
    <x v="0"/>
    <n v="1931.0830000000001"/>
    <n v="175.553"/>
    <n v="0.4"/>
  </r>
  <r>
    <s v="Men 35-44"/>
    <s v="Market Expansion"/>
    <s v="45 Days"/>
    <x v="3"/>
    <n v="0.14000000000000001"/>
    <n v="10292.39"/>
    <n v="6.55"/>
    <n v="27145"/>
    <n v="81923"/>
    <n v="9"/>
    <s v="Health"/>
    <d v="2022-06-17T00:00:00"/>
    <s v="Elixir Essence"/>
    <x v="9"/>
    <n v="11321.629000000001"/>
    <n v="1029.239"/>
    <n v="0.38"/>
  </r>
  <r>
    <s v="All Ages"/>
    <s v="Market Expansion"/>
    <s v="15 Days"/>
    <x v="2"/>
    <n v="0.13"/>
    <n v="2239.29"/>
    <n v="0.92412335317441996"/>
    <n v="3217"/>
    <n v="11458"/>
    <n v="1"/>
    <s v="Fashion"/>
    <d v="2022-08-08T00:00:00"/>
    <s v="Trend Tailors"/>
    <x v="2"/>
    <n v="2463.2190000000001"/>
    <n v="223.929"/>
    <n v="0.7"/>
  </r>
  <r>
    <s v="Men 25-34"/>
    <s v="Product Launch"/>
    <s v="15 Days"/>
    <x v="0"/>
    <n v="0.12"/>
    <n v="3149.34"/>
    <n v="3.39"/>
    <n v="7764"/>
    <n v="24517"/>
    <n v="3"/>
    <s v="Home"/>
    <d v="2022-04-06T00:00:00"/>
    <s v="Cozy Corners"/>
    <x v="10"/>
    <n v="3464.2739999999999"/>
    <n v="314.93400000000003"/>
    <n v="0.41"/>
  </r>
  <r>
    <s v="Men 25-34"/>
    <s v="Brand Awareness"/>
    <s v="30 Days"/>
    <x v="1"/>
    <n v="0.12"/>
    <n v="5978.26"/>
    <n v="5.12"/>
    <n v="15445"/>
    <n v="47267"/>
    <n v="9"/>
    <s v="Home"/>
    <d v="2022-09-21T00:00:00"/>
    <s v="Homely Haven"/>
    <x v="8"/>
    <n v="6576.0860000000002"/>
    <n v="597.82600000000002"/>
    <n v="0.39"/>
  </r>
  <r>
    <s v="Men 18-24"/>
    <s v="Product Launch"/>
    <s v="45 Days"/>
    <x v="0"/>
    <n v="0.15"/>
    <n v="10192.02"/>
    <n v="4.53"/>
    <n v="26877"/>
    <n v="81129"/>
    <n v="10"/>
    <s v="Food"/>
    <d v="2022-04-19T00:00:00"/>
    <s v="Epicurean Edge"/>
    <x v="10"/>
    <n v="11211.222"/>
    <n v="1019.202"/>
    <n v="0.38"/>
  </r>
  <r>
    <s v="Men 35-44"/>
    <s v="Brand Awareness"/>
    <s v="60 Days"/>
    <x v="3"/>
    <n v="0.12"/>
    <n v="13906.38"/>
    <n v="1.86"/>
    <n v="36470"/>
    <n v="109544"/>
    <n v="3"/>
    <s v="Food"/>
    <d v="2022-11-26T00:00:00"/>
    <s v="Palate Paradise"/>
    <x v="3"/>
    <n v="15297.018"/>
    <n v="1390.6379999999999"/>
    <n v="0.38"/>
  </r>
  <r>
    <s v="Men 45-60"/>
    <s v="Market Expansion"/>
    <s v="60 Days"/>
    <x v="0"/>
    <n v="0.14000000000000001"/>
    <n v="12241.11"/>
    <n v="5.89"/>
    <n v="32410"/>
    <n v="97518"/>
    <n v="7"/>
    <s v="Food"/>
    <d v="2022-11-18T00:00:00"/>
    <s v="Bistro Bliss"/>
    <x v="3"/>
    <n v="13465.221"/>
    <n v="1224.1110000000001"/>
    <n v="0.38"/>
  </r>
  <r>
    <s v="Men 18-24"/>
    <s v="Market Expansion"/>
    <s v="30 Days"/>
    <x v="3"/>
    <n v="0.04"/>
    <n v="5004.5"/>
    <n v="3.93"/>
    <n v="12786"/>
    <n v="39392"/>
    <n v="10"/>
    <s v="Technology"/>
    <d v="2022-04-09T00:00:00"/>
    <s v="Pixel Pioneers"/>
    <x v="10"/>
    <n v="5504.95"/>
    <n v="500.45"/>
    <n v="0.39"/>
  </r>
  <r>
    <s v="Women 25-34"/>
    <s v="Product Launch"/>
    <s v="60 Days"/>
    <x v="0"/>
    <n v="0.12"/>
    <n v="13445.33"/>
    <n v="2.6"/>
    <n v="35452"/>
    <n v="106530"/>
    <n v="7"/>
    <s v="Food"/>
    <d v="2022-07-07T00:00:00"/>
    <s v="Nosh Nirvana"/>
    <x v="0"/>
    <n v="14789.862999999999"/>
    <n v="1344.5329999999999"/>
    <n v="0.38"/>
  </r>
  <r>
    <s v="Women 18-24"/>
    <s v="Market Expansion"/>
    <s v="60 Days"/>
    <x v="1"/>
    <n v="0.11"/>
    <n v="15000"/>
    <n v="4.79"/>
    <n v="38740"/>
    <n v="116268"/>
    <n v="10"/>
    <s v="Fashion"/>
    <d v="2022-08-21T00:00:00"/>
    <s v="Fiber Fashion"/>
    <x v="2"/>
    <n v="16500"/>
    <n v="1500"/>
    <n v="0.39"/>
  </r>
  <r>
    <s v="Men 45-60"/>
    <s v="Brand Awareness"/>
    <s v="60 Days"/>
    <x v="0"/>
    <n v="0.09"/>
    <n v="11982.25"/>
    <n v="4.51"/>
    <n v="31721"/>
    <n v="95479"/>
    <n v="5"/>
    <s v="Food"/>
    <d v="2022-05-27T00:00:00"/>
    <s v="Palate Paradise"/>
    <x v="4"/>
    <n v="13180.475"/>
    <n v="1198.2249999999999"/>
    <n v="0.38"/>
  </r>
  <r>
    <s v="Women 35-44"/>
    <s v="Market Expansion"/>
    <s v="30 Days"/>
    <x v="2"/>
    <n v="7.0000000000000007E-2"/>
    <n v="4960.6000000000004"/>
    <n v="0.21449671640411999"/>
    <n v="7436"/>
    <n v="25195"/>
    <n v="1"/>
    <s v="Home"/>
    <d v="2022-12-13T00:00:00"/>
    <s v="Living Luxe"/>
    <x v="7"/>
    <n v="5456.66"/>
    <n v="496.06"/>
    <n v="0.67"/>
  </r>
  <r>
    <s v="Men 18-24"/>
    <s v="Product Launch"/>
    <s v="15 Days"/>
    <x v="2"/>
    <n v="0.1"/>
    <n v="1924.72"/>
    <n v="0.72571389050060797"/>
    <n v="2773"/>
    <n v="10011"/>
    <n v="1"/>
    <s v="Technology"/>
    <d v="2022-01-15T00:00:00"/>
    <s v="Gadget Giants"/>
    <x v="1"/>
    <n v="2117.192"/>
    <n v="192.47199999999901"/>
    <n v="0.69"/>
  </r>
  <r>
    <s v="Men 25-34"/>
    <s v="Brand Awareness"/>
    <s v="45 Days"/>
    <x v="1"/>
    <n v="0.13"/>
    <n v="7904.39"/>
    <n v="7.79"/>
    <n v="20649"/>
    <n v="62682"/>
    <n v="8"/>
    <s v="Food"/>
    <d v="2022-03-02T00:00:00"/>
    <s v="Nosh Nirvana"/>
    <x v="11"/>
    <n v="8694.8289999999997"/>
    <n v="790.43900000000099"/>
    <n v="0.38"/>
  </r>
  <r>
    <s v="Women 35-44"/>
    <s v="Brand Awareness"/>
    <s v="45 Days"/>
    <x v="3"/>
    <n v="0.11"/>
    <n v="10738.36"/>
    <n v="4.34"/>
    <n v="28361"/>
    <n v="85526"/>
    <n v="5"/>
    <s v="Home"/>
    <d v="2022-12-06T00:00:00"/>
    <s v="Dwell Delight"/>
    <x v="7"/>
    <n v="11812.196"/>
    <n v="1073.836"/>
    <n v="0.38"/>
  </r>
  <r>
    <s v="Men 45-60"/>
    <s v="Increase Sales"/>
    <s v="45 Days"/>
    <x v="2"/>
    <n v="0.1"/>
    <n v="11357.68"/>
    <n v="0.30744529351257299"/>
    <n v="17649"/>
    <n v="58450"/>
    <n v="1"/>
    <s v="Health"/>
    <d v="2022-11-07T00:00:00"/>
    <s v="Elixir Essence"/>
    <x v="3"/>
    <n v="12493.448"/>
    <n v="1135.768"/>
    <n v="0.64"/>
  </r>
  <r>
    <s v="Men 25-34"/>
    <s v="Product Launch"/>
    <s v="15 Days"/>
    <x v="1"/>
    <n v="0.06"/>
    <n v="569.19000000000005"/>
    <n v="2.91"/>
    <n v="2183"/>
    <n v="7985"/>
    <n v="1"/>
    <s v="Health"/>
    <d v="2022-04-11T00:00:00"/>
    <s v="Heal Hub"/>
    <x v="10"/>
    <n v="626.10900000000004"/>
    <n v="56.918999999999997"/>
    <n v="0.26"/>
  </r>
  <r>
    <s v="Women 45-60"/>
    <s v="Market Expansion"/>
    <s v="60 Days"/>
    <x v="2"/>
    <n v="0.11"/>
    <n v="14444.4"/>
    <n v="1.36026667652946"/>
    <n v="22045"/>
    <n v="72766"/>
    <n v="1"/>
    <s v="Home"/>
    <d v="2022-02-22T00:00:00"/>
    <s v="Domestic Dream"/>
    <x v="6"/>
    <n v="15888.84"/>
    <n v="1444.44"/>
    <n v="0.66"/>
  </r>
  <r>
    <s v="Men 45-60"/>
    <s v="Brand Awareness"/>
    <s v="60 Days"/>
    <x v="1"/>
    <n v="0.11"/>
    <n v="14495.88"/>
    <n v="7.72"/>
    <n v="37628"/>
    <n v="112974"/>
    <n v="4"/>
    <s v="Technology"/>
    <d v="2022-12-10T00:00:00"/>
    <s v="Pixel Pioneers"/>
    <x v="7"/>
    <n v="15945.468000000001"/>
    <n v="1449.588"/>
    <n v="0.39"/>
  </r>
  <r>
    <s v="Women 25-34"/>
    <s v="Market Expansion"/>
    <s v="60 Days"/>
    <x v="1"/>
    <n v="0.04"/>
    <n v="13452.8"/>
    <n v="5.0599999999999996"/>
    <n v="35471"/>
    <n v="106587"/>
    <n v="1"/>
    <s v="Home"/>
    <d v="2022-07-12T00:00:00"/>
    <s v="Furnish Fine"/>
    <x v="0"/>
    <n v="14798.08"/>
    <n v="1345.28"/>
    <n v="0.38"/>
  </r>
  <r>
    <s v="Men 18-24"/>
    <s v="Market Expansion"/>
    <s v="60 Days"/>
    <x v="1"/>
    <n v="0.05"/>
    <n v="11654.4"/>
    <n v="6.72"/>
    <n v="30861"/>
    <n v="92931"/>
    <n v="8"/>
    <s v="Home"/>
    <d v="2022-04-22T00:00:00"/>
    <s v="Dwell Delight"/>
    <x v="10"/>
    <n v="12819.84"/>
    <n v="1165.44"/>
    <n v="0.38"/>
  </r>
  <r>
    <s v="All Ages"/>
    <s v="Brand Awareness"/>
    <s v="15 Days"/>
    <x v="0"/>
    <n v="0.06"/>
    <n v="1358.41"/>
    <n v="5.45"/>
    <n v="3525"/>
    <n v="11962"/>
    <n v="6"/>
    <s v="Technology"/>
    <d v="2022-01-23T00:00:00"/>
    <s v="Innovate Infinity"/>
    <x v="1"/>
    <n v="1494.251"/>
    <n v="135.84100000000001"/>
    <n v="0.39"/>
  </r>
  <r>
    <s v="Women 35-44"/>
    <s v="Product Launch"/>
    <s v="15 Days"/>
    <x v="2"/>
    <n v="0.15"/>
    <n v="3799.03"/>
    <n v="0.53445431837360002"/>
    <n v="5576"/>
    <n v="19139"/>
    <n v="1"/>
    <s v="Home"/>
    <d v="2022-11-24T00:00:00"/>
    <s v="Living Luxe"/>
    <x v="3"/>
    <n v="4178.933"/>
    <n v="379.90300000000002"/>
    <n v="0.68"/>
  </r>
  <r>
    <s v="Women 25-34"/>
    <s v="Product Launch"/>
    <s v="15 Days"/>
    <x v="1"/>
    <n v="0.11"/>
    <n v="500"/>
    <n v="4.4000000000000004"/>
    <n v="1985"/>
    <n v="7400"/>
    <n v="7"/>
    <s v="Fashion"/>
    <d v="2022-12-27T00:00:00"/>
    <s v="Chic Couture"/>
    <x v="7"/>
    <n v="550"/>
    <n v="50"/>
    <n v="0.25"/>
  </r>
  <r>
    <s v="Men 35-44"/>
    <s v="Brand Awareness"/>
    <s v="15 Days"/>
    <x v="2"/>
    <n v="0.03"/>
    <n v="1966.42"/>
    <n v="0.865136756163287"/>
    <n v="2833"/>
    <n v="10209"/>
    <n v="1"/>
    <s v="Technology"/>
    <d v="2022-01-01T00:00:00"/>
    <s v="Code Crafters"/>
    <x v="1"/>
    <n v="2163.0619999999999"/>
    <n v="196.642"/>
    <n v="0.69"/>
  </r>
  <r>
    <s v="Women 45-60"/>
    <s v="Increase Sales"/>
    <s v="45 Days"/>
    <x v="2"/>
    <n v="0.06"/>
    <n v="9722.89"/>
    <n v="1.0653336914738001"/>
    <n v="15036"/>
    <n v="49943"/>
    <n v="1"/>
    <s v="Food"/>
    <d v="2022-07-01T00:00:00"/>
    <s v="Bistro Bliss"/>
    <x v="0"/>
    <n v="10695.179"/>
    <n v="972.28899999999999"/>
    <n v="0.65"/>
  </r>
  <r>
    <s v="Women 25-34"/>
    <s v="Increase Sales"/>
    <s v="45 Days"/>
    <x v="2"/>
    <n v="0.08"/>
    <n v="7994.41"/>
    <n v="0.15014770148288401"/>
    <n v="12274"/>
    <n v="40946"/>
    <n v="1"/>
    <s v="Technology"/>
    <d v="2022-07-21T00:00:00"/>
    <s v="Giga Geeks"/>
    <x v="0"/>
    <n v="8793.8510000000006"/>
    <n v="799.44100000000003"/>
    <n v="0.65"/>
  </r>
  <r>
    <s v="All Ages"/>
    <s v="Product Launch"/>
    <s v="45 Days"/>
    <x v="3"/>
    <n v="0.06"/>
    <n v="10037.14"/>
    <n v="2.73"/>
    <n v="26449"/>
    <n v="79861"/>
    <n v="7"/>
    <s v="Health"/>
    <d v="2022-06-22T00:00:00"/>
    <s v="Well Wish"/>
    <x v="9"/>
    <n v="11040.853999999999"/>
    <n v="1003.7139999999901"/>
    <n v="0.38"/>
  </r>
  <r>
    <s v="Women 18-24"/>
    <s v="Brand Awareness"/>
    <s v="30 Days"/>
    <x v="0"/>
    <n v="0.13"/>
    <n v="6692.68"/>
    <n v="3.63"/>
    <n v="17356"/>
    <n v="52929"/>
    <n v="5"/>
    <s v="Health"/>
    <d v="2022-01-03T00:00:00"/>
    <s v="Aura Align"/>
    <x v="1"/>
    <n v="7361.9480000000003"/>
    <n v="669.26800000000003"/>
    <n v="0.39"/>
  </r>
  <r>
    <s v="Men 18-24"/>
    <s v="Product Launch"/>
    <s v="30 Days"/>
    <x v="2"/>
    <n v="0.02"/>
    <n v="4924.37"/>
    <n v="0.79363785069524595"/>
    <n v="7382"/>
    <n v="25021"/>
    <n v="1"/>
    <s v="Food"/>
    <d v="2022-09-19T00:00:00"/>
    <s v="Bistro Bliss"/>
    <x v="8"/>
    <n v="5416.8069999999998"/>
    <n v="492.43700000000001"/>
    <n v="0.67"/>
  </r>
  <r>
    <s v="Women 35-44"/>
    <s v="Increase Sales"/>
    <s v="30 Days"/>
    <x v="3"/>
    <n v="0.09"/>
    <n v="7081.8"/>
    <n v="4.3099999999999996"/>
    <n v="18418"/>
    <n v="56074"/>
    <n v="10"/>
    <s v="Technology"/>
    <d v="2022-08-23T00:00:00"/>
    <s v="Pixel Pioneers"/>
    <x v="2"/>
    <n v="7789.98"/>
    <n v="708.18"/>
    <n v="0.38"/>
  </r>
  <r>
    <s v="Women 18-24"/>
    <s v="Market Expansion"/>
    <s v="45 Days"/>
    <x v="0"/>
    <n v="0.12"/>
    <n v="9346.91"/>
    <n v="5.18"/>
    <n v="24556"/>
    <n v="74255"/>
    <n v="2"/>
    <s v="Home"/>
    <d v="2022-01-17T00:00:00"/>
    <s v="Cozy Corners"/>
    <x v="1"/>
    <n v="10281.601000000001"/>
    <n v="934.69100000000003"/>
    <n v="0.38"/>
  </r>
  <r>
    <s v="Men 45-60"/>
    <s v="Product Launch"/>
    <s v="60 Days"/>
    <x v="2"/>
    <n v="0.1"/>
    <n v="14308.12"/>
    <n v="8.9373631835049996E-3"/>
    <n v="21899"/>
    <n v="72286"/>
    <n v="1"/>
    <s v="Health"/>
    <d v="2022-11-24T00:00:00"/>
    <s v="Aura Align"/>
    <x v="3"/>
    <n v="15738.932000000001"/>
    <n v="1430.8119999999999"/>
    <n v="0.65"/>
  </r>
  <r>
    <s v="Women 25-34"/>
    <s v="Brand Awareness"/>
    <s v="15 Days"/>
    <x v="3"/>
    <n v="0.1"/>
    <n v="500"/>
    <n v="1.01"/>
    <n v="1152"/>
    <n v="4932"/>
    <n v="5"/>
    <s v="Technology"/>
    <d v="2022-03-14T00:00:00"/>
    <s v="NexGen Nerds"/>
    <x v="11"/>
    <n v="550"/>
    <n v="50"/>
    <n v="0.43"/>
  </r>
  <r>
    <s v="Men 35-44"/>
    <s v="Product Launch"/>
    <s v="45 Days"/>
    <x v="2"/>
    <n v="0.04"/>
    <n v="8101.44"/>
    <n v="0.26990836814185099"/>
    <n v="12445"/>
    <n v="41505"/>
    <n v="1"/>
    <s v="Technology"/>
    <d v="2022-05-21T00:00:00"/>
    <s v="NexGen Nerds"/>
    <x v="4"/>
    <n v="8911.5840000000007"/>
    <n v="810.14400000000103"/>
    <n v="0.65"/>
  </r>
  <r>
    <s v="Men 35-44"/>
    <s v="Increase Sales"/>
    <s v="15 Days"/>
    <x v="0"/>
    <n v="0.11"/>
    <n v="2821.89"/>
    <n v="6.86"/>
    <n v="6910"/>
    <n v="21988"/>
    <n v="7"/>
    <s v="Technology"/>
    <d v="2022-11-23T00:00:00"/>
    <s v="Tech Titans"/>
    <x v="3"/>
    <n v="3104.0790000000002"/>
    <n v="282.18900000000002"/>
    <n v="0.41"/>
  </r>
  <r>
    <s v="Men 18-24"/>
    <s v="Brand Awareness"/>
    <s v="60 Days"/>
    <x v="3"/>
    <n v="0.06"/>
    <n v="12582.63"/>
    <n v="7.89"/>
    <n v="33300"/>
    <n v="100154"/>
    <n v="1"/>
    <s v="Home"/>
    <d v="2022-03-28T00:00:00"/>
    <s v="Nest Neat"/>
    <x v="11"/>
    <n v="13840.893"/>
    <n v="1258.2629999999999"/>
    <n v="0.38"/>
  </r>
  <r>
    <s v="Men 25-34"/>
    <s v="Product Launch"/>
    <s v="15 Days"/>
    <x v="2"/>
    <n v="0.09"/>
    <n v="3204.03"/>
    <n v="0.55769146265071401"/>
    <n v="4641"/>
    <n v="16094"/>
    <n v="1"/>
    <s v="Home"/>
    <d v="2022-11-16T00:00:00"/>
    <s v="Cozy Corners"/>
    <x v="3"/>
    <n v="3524.433"/>
    <n v="320.40300000000002"/>
    <n v="0.69"/>
  </r>
  <r>
    <s v="All Ages"/>
    <s v="Product Launch"/>
    <s v="15 Days"/>
    <x v="0"/>
    <n v="7.0000000000000007E-2"/>
    <n v="2159.08"/>
    <n v="4"/>
    <n v="5281"/>
    <n v="17161"/>
    <n v="3"/>
    <s v="Technology"/>
    <d v="2022-07-04T00:00:00"/>
    <s v="Code Crafters"/>
    <x v="0"/>
    <n v="2374.9879999999998"/>
    <n v="215.90799999999999"/>
    <n v="0.41"/>
  </r>
  <r>
    <s v="Men 45-60"/>
    <s v="Product Launch"/>
    <s v="30 Days"/>
    <x v="1"/>
    <n v="0.03"/>
    <n v="5602.86"/>
    <n v="0.18"/>
    <n v="14416"/>
    <n v="44222"/>
    <n v="10"/>
    <s v="Fashion"/>
    <d v="2022-02-17T00:00:00"/>
    <s v="Runway Rebels"/>
    <x v="6"/>
    <n v="6163.1459999999997"/>
    <n v="560.28599999999994"/>
    <n v="0.39"/>
  </r>
  <r>
    <s v="Women 25-34"/>
    <s v="Increase Sales"/>
    <s v="60 Days"/>
    <x v="3"/>
    <n v="0.13"/>
    <n v="11576.83"/>
    <n v="7.72"/>
    <n v="30652"/>
    <n v="92313"/>
    <n v="2"/>
    <s v="Technology"/>
    <d v="2022-10-22T00:00:00"/>
    <s v="Gadget Giants"/>
    <x v="5"/>
    <n v="12734.513000000001"/>
    <n v="1157.683"/>
    <n v="0.38"/>
  </r>
  <r>
    <s v="Men 35-44"/>
    <s v="Increase Sales"/>
    <s v="45 Days"/>
    <x v="2"/>
    <n v="0.08"/>
    <n v="9061.9699999999993"/>
    <n v="1.1493449053987399"/>
    <n v="13969"/>
    <n v="46468"/>
    <n v="1"/>
    <s v="Fashion"/>
    <d v="2022-04-19T00:00:00"/>
    <s v="Mode Maven"/>
    <x v="10"/>
    <n v="9968.1669999999995"/>
    <n v="906.197"/>
    <n v="0.65"/>
  </r>
  <r>
    <s v="Men 35-44"/>
    <s v="Product Launch"/>
    <s v="15 Days"/>
    <x v="2"/>
    <n v="0.09"/>
    <n v="1316.5"/>
    <n v="1.2637431541476101"/>
    <n v="2022"/>
    <n v="7565"/>
    <n v="1"/>
    <s v="Food"/>
    <d v="2022-11-24T00:00:00"/>
    <s v="Dine Divine"/>
    <x v="3"/>
    <n v="1448.15"/>
    <n v="131.65"/>
    <n v="0.65"/>
  </r>
  <r>
    <s v="Women 45-60"/>
    <s v="Market Expansion"/>
    <s v="45 Days"/>
    <x v="2"/>
    <n v="0.1"/>
    <n v="10562.98"/>
    <n v="0.19662199003711001"/>
    <n v="16375"/>
    <n v="54303"/>
    <n v="1"/>
    <s v="Technology"/>
    <d v="2022-12-09T00:00:00"/>
    <s v="Giga Geeks"/>
    <x v="7"/>
    <n v="11619.278"/>
    <n v="1056.298"/>
    <n v="0.65"/>
  </r>
  <r>
    <s v="All Ages"/>
    <s v="Increase Sales"/>
    <s v="60 Days"/>
    <x v="0"/>
    <n v="0.08"/>
    <n v="15000"/>
    <n v="7.87"/>
    <n v="39633"/>
    <n v="118913"/>
    <n v="2"/>
    <s v="Fashion"/>
    <d v="2022-12-17T00:00:00"/>
    <s v="Mode Maven"/>
    <x v="7"/>
    <n v="16500"/>
    <n v="1500"/>
    <n v="0.38"/>
  </r>
  <r>
    <s v="Men 25-34"/>
    <s v="Increase Sales"/>
    <s v="30 Days"/>
    <x v="2"/>
    <n v="0.12"/>
    <n v="7053.87"/>
    <n v="1.18151941285936"/>
    <n v="10772"/>
    <n v="36058"/>
    <n v="1"/>
    <s v="Fashion"/>
    <d v="2022-11-03T00:00:00"/>
    <s v="Fiber Fashion"/>
    <x v="3"/>
    <n v="7759.2569999999996"/>
    <n v="705.38699999999994"/>
    <n v="0.65"/>
  </r>
  <r>
    <s v="Men 35-44"/>
    <s v="Brand Awareness"/>
    <s v="60 Days"/>
    <x v="2"/>
    <n v="0.05"/>
    <n v="13168.74"/>
    <n v="1.2762554626045099"/>
    <n v="20436"/>
    <n v="67523"/>
    <n v="1"/>
    <s v="Health"/>
    <d v="2022-08-22T00:00:00"/>
    <s v="Well Wish"/>
    <x v="2"/>
    <n v="14485.614"/>
    <n v="1316.874"/>
    <n v="0.64"/>
  </r>
  <r>
    <s v="Men 18-24"/>
    <s v="Increase Sales"/>
    <s v="60 Days"/>
    <x v="1"/>
    <n v="0.11"/>
    <n v="15000"/>
    <n v="3.07"/>
    <n v="39105"/>
    <n v="117351"/>
    <n v="1"/>
    <s v="Fashion"/>
    <d v="2022-03-01T00:00:00"/>
    <s v="Vogue Visions"/>
    <x v="11"/>
    <n v="16500"/>
    <n v="1500"/>
    <n v="0.38"/>
  </r>
  <r>
    <s v="Men 35-44"/>
    <s v="Brand Awareness"/>
    <s v="30 Days"/>
    <x v="0"/>
    <n v="7.0000000000000007E-2"/>
    <n v="7016.32"/>
    <n v="2.94"/>
    <n v="18243"/>
    <n v="55556"/>
    <n v="2"/>
    <s v="Technology"/>
    <d v="2022-07-17T00:00:00"/>
    <s v="Silicon Saga"/>
    <x v="0"/>
    <n v="7717.9520000000002"/>
    <n v="701.63199999999995"/>
    <n v="0.38"/>
  </r>
  <r>
    <s v="Women 18-24"/>
    <s v="Brand Awareness"/>
    <s v="60 Days"/>
    <x v="2"/>
    <n v="0.08"/>
    <n v="13849.87"/>
    <n v="0.31280771142267599"/>
    <n v="21351"/>
    <n v="70505"/>
    <n v="1"/>
    <s v="Technology"/>
    <d v="2022-09-19T00:00:00"/>
    <s v="NexGen Nerds"/>
    <x v="8"/>
    <n v="15234.857"/>
    <n v="1384.9870000000001"/>
    <n v="0.65"/>
  </r>
  <r>
    <s v="Men 35-44"/>
    <s v="Brand Awareness"/>
    <s v="30 Days"/>
    <x v="1"/>
    <n v="0.13"/>
    <n v="7536.17"/>
    <n v="2.41"/>
    <n v="19642"/>
    <n v="59701"/>
    <n v="2"/>
    <s v="Fashion"/>
    <d v="2022-11-01T00:00:00"/>
    <s v="Mode Maven"/>
    <x v="3"/>
    <n v="8289.7870000000003"/>
    <n v="753.61699999999996"/>
    <n v="0.38"/>
  </r>
  <r>
    <s v="Men 18-24"/>
    <s v="Product Launch"/>
    <s v="15 Days"/>
    <x v="1"/>
    <n v="0.06"/>
    <n v="1931.88"/>
    <n v="2.93"/>
    <n v="4739"/>
    <n v="15556"/>
    <n v="8"/>
    <s v="Technology"/>
    <d v="2022-02-10T00:00:00"/>
    <s v="Tech Titans"/>
    <x v="6"/>
    <n v="2125.0680000000002"/>
    <n v="193.18799999999999"/>
    <n v="0.41"/>
  </r>
  <r>
    <s v="All Ages"/>
    <s v="Product Launch"/>
    <s v="45 Days"/>
    <x v="1"/>
    <n v="0.14000000000000001"/>
    <n v="9508.1"/>
    <n v="3.02"/>
    <n v="25001"/>
    <n v="75573"/>
    <n v="7"/>
    <s v="Fashion"/>
    <d v="2022-11-13T00:00:00"/>
    <s v="Trend Tailors"/>
    <x v="3"/>
    <n v="10458.91"/>
    <n v="950.81000000000097"/>
    <n v="0.38"/>
  </r>
  <r>
    <s v="Women 18-24"/>
    <s v="Market Expansion"/>
    <s v="60 Days"/>
    <x v="1"/>
    <n v="0.02"/>
    <n v="13793.32"/>
    <n v="4.04"/>
    <n v="36232"/>
    <n v="108841"/>
    <n v="6"/>
    <s v="Health"/>
    <d v="2022-02-23T00:00:00"/>
    <s v="Heal Hub"/>
    <x v="6"/>
    <n v="15172.652"/>
    <n v="1379.3320000000001"/>
    <n v="0.38"/>
  </r>
  <r>
    <s v="Men 25-34"/>
    <s v="Product Launch"/>
    <s v="30 Days"/>
    <x v="0"/>
    <n v="0.1"/>
    <n v="6930.73"/>
    <n v="7.73"/>
    <n v="18011"/>
    <n v="54868"/>
    <n v="7"/>
    <s v="Fashion"/>
    <d v="2022-04-17T00:00:00"/>
    <s v="Attire Artistry"/>
    <x v="10"/>
    <n v="7623.8029999999999"/>
    <n v="693.07299999999998"/>
    <n v="0.38"/>
  </r>
  <r>
    <s v="Men 18-24"/>
    <s v="Product Launch"/>
    <s v="45 Days"/>
    <x v="1"/>
    <n v="0.09"/>
    <n v="9813.94"/>
    <n v="4.96"/>
    <n v="25858"/>
    <n v="78112"/>
    <n v="1"/>
    <s v="Home"/>
    <d v="2022-01-10T00:00:00"/>
    <s v="Decor Dreams"/>
    <x v="1"/>
    <n v="10795.334000000001"/>
    <n v="981.39400000000001"/>
    <n v="0.38"/>
  </r>
  <r>
    <s v="Women 18-24"/>
    <s v="Market Expansion"/>
    <s v="60 Days"/>
    <x v="0"/>
    <n v="0.09"/>
    <n v="15000"/>
    <n v="5.15"/>
    <n v="38711"/>
    <n v="116182"/>
    <n v="6"/>
    <s v="Home"/>
    <d v="2022-08-19T00:00:00"/>
    <s v="Cozy Corners"/>
    <x v="2"/>
    <n v="16500"/>
    <n v="1500"/>
    <n v="0.39"/>
  </r>
  <r>
    <s v="Men 35-44"/>
    <s v="Brand Awareness"/>
    <s v="30 Days"/>
    <x v="2"/>
    <n v="0.02"/>
    <n v="4528.24"/>
    <n v="0.42541848753483902"/>
    <n v="6746"/>
    <n v="22947"/>
    <n v="1"/>
    <s v="Food"/>
    <d v="2022-06-04T00:00:00"/>
    <s v="Epicurean Edge"/>
    <x v="9"/>
    <n v="4981.0640000000003"/>
    <n v="452.82400000000001"/>
    <n v="0.67"/>
  </r>
  <r>
    <s v="Women 35-44"/>
    <s v="Product Launch"/>
    <s v="30 Days"/>
    <x v="1"/>
    <n v="0.13"/>
    <n v="6535.31"/>
    <n v="0.23"/>
    <n v="16939"/>
    <n v="51695"/>
    <n v="6"/>
    <s v="Food"/>
    <d v="2022-07-10T00:00:00"/>
    <s v="Feast Flavors"/>
    <x v="0"/>
    <n v="7188.8410000000003"/>
    <n v="653.53099999999995"/>
    <n v="0.39"/>
  </r>
  <r>
    <s v="All Ages"/>
    <s v="Market Expansion"/>
    <s v="15 Days"/>
    <x v="3"/>
    <n v="0.14000000000000001"/>
    <n v="500"/>
    <n v="3.4"/>
    <n v="1514"/>
    <n v="6004"/>
    <n v="9"/>
    <s v="Technology"/>
    <d v="2022-09-24T00:00:00"/>
    <s v="Gadget Giants"/>
    <x v="8"/>
    <n v="550"/>
    <n v="50"/>
    <n v="0.33"/>
  </r>
  <r>
    <s v="Men 18-24"/>
    <s v="Brand Awareness"/>
    <s v="60 Days"/>
    <x v="3"/>
    <n v="0.09"/>
    <n v="13166.61"/>
    <n v="5.09"/>
    <n v="34789"/>
    <n v="104564"/>
    <n v="10"/>
    <s v="Health"/>
    <d v="2022-06-18T00:00:00"/>
    <s v="Fitness Front"/>
    <x v="9"/>
    <n v="14483.271000000001"/>
    <n v="1316.6610000000001"/>
    <n v="0.38"/>
  </r>
  <r>
    <s v="Women 18-24"/>
    <s v="Increase Sales"/>
    <s v="45 Days"/>
    <x v="0"/>
    <n v="0.12"/>
    <n v="9298.1200000000008"/>
    <n v="1.36"/>
    <n v="24429"/>
    <n v="73880"/>
    <n v="9"/>
    <s v="Fashion"/>
    <d v="2022-06-20T00:00:00"/>
    <s v="Fiber Fashion"/>
    <x v="9"/>
    <n v="10227.932000000001"/>
    <n v="929.81200000000104"/>
    <n v="0.38"/>
  </r>
  <r>
    <s v="Women 45-60"/>
    <s v="Product Launch"/>
    <s v="60 Days"/>
    <x v="1"/>
    <n v="0.09"/>
    <n v="15000"/>
    <n v="7.6"/>
    <n v="38711"/>
    <n v="116183"/>
    <n v="2"/>
    <s v="Technology"/>
    <d v="2022-01-06T00:00:00"/>
    <s v="Quantum Quirks"/>
    <x v="1"/>
    <n v="16500"/>
    <n v="1500"/>
    <n v="0.39"/>
  </r>
  <r>
    <s v="All Ages"/>
    <s v="Brand Awareness"/>
    <s v="15 Days"/>
    <x v="2"/>
    <n v="0.04"/>
    <n v="500"/>
    <n v="1.3209422785220399"/>
    <n v="994"/>
    <n v="4217"/>
    <n v="1"/>
    <s v="Fashion"/>
    <d v="2022-01-09T00:00:00"/>
    <s v="Fiber Fashion"/>
    <x v="1"/>
    <n v="550"/>
    <n v="50"/>
    <n v="0.5"/>
  </r>
  <r>
    <s v="Women 45-60"/>
    <s v="Brand Awareness"/>
    <s v="15 Days"/>
    <x v="2"/>
    <n v="7.0000000000000007E-2"/>
    <n v="1223.17"/>
    <n v="0.875861591983493"/>
    <n v="1918"/>
    <n v="7229"/>
    <n v="1"/>
    <s v="Health"/>
    <d v="2022-04-30T00:00:00"/>
    <s v="Balance Beam"/>
    <x v="10"/>
    <n v="1345.4870000000001"/>
    <n v="122.31699999999999"/>
    <n v="0.64"/>
  </r>
  <r>
    <s v="Men 18-24"/>
    <s v="Market Expansion"/>
    <s v="60 Days"/>
    <x v="3"/>
    <n v="0.09"/>
    <n v="15000"/>
    <n v="4.99"/>
    <n v="38951"/>
    <n v="116894"/>
    <n v="4"/>
    <s v="Fashion"/>
    <d v="2022-11-18T00:00:00"/>
    <s v="Attire Artistry"/>
    <x v="3"/>
    <n v="16500"/>
    <n v="1500"/>
    <n v="0.39"/>
  </r>
  <r>
    <s v="Women 35-44"/>
    <s v="Product Launch"/>
    <s v="45 Days"/>
    <x v="3"/>
    <n v="0.1"/>
    <n v="10420.35"/>
    <n v="5.47"/>
    <n v="27494"/>
    <n v="82959"/>
    <n v="5"/>
    <s v="Food"/>
    <d v="2022-03-13T00:00:00"/>
    <s v="Feast Flavors"/>
    <x v="11"/>
    <n v="11462.385"/>
    <n v="1042.0350000000001"/>
    <n v="0.38"/>
  </r>
  <r>
    <s v="Men 18-24"/>
    <s v="Increase Sales"/>
    <s v="60 Days"/>
    <x v="3"/>
    <n v="0.03"/>
    <n v="12891.72"/>
    <n v="1.97"/>
    <n v="34106"/>
    <n v="102543"/>
    <n v="2"/>
    <s v="Technology"/>
    <d v="2022-06-22T00:00:00"/>
    <s v="Gadget Giants"/>
    <x v="9"/>
    <n v="14180.892"/>
    <n v="1289.172"/>
    <n v="0.38"/>
  </r>
  <r>
    <s v="Women 18-24"/>
    <s v="Increase Sales"/>
    <s v="15 Days"/>
    <x v="1"/>
    <n v="0.13"/>
    <n v="3158.63"/>
    <n v="0.42"/>
    <n v="7788"/>
    <n v="24588"/>
    <n v="5"/>
    <s v="Health"/>
    <d v="2022-06-25T00:00:00"/>
    <s v="Vital Vigor"/>
    <x v="9"/>
    <n v="3474.4929999999999"/>
    <n v="315.863"/>
    <n v="0.41"/>
  </r>
  <r>
    <s v="Men 25-34"/>
    <s v="Product Launch"/>
    <s v="15 Days"/>
    <x v="1"/>
    <n v="0.05"/>
    <n v="2365.7800000000002"/>
    <n v="4"/>
    <n v="5786"/>
    <n v="18657"/>
    <n v="4"/>
    <s v="Home"/>
    <d v="2022-05-25T00:00:00"/>
    <s v="Living Luxe"/>
    <x v="4"/>
    <n v="2602.3580000000002"/>
    <n v="236.578"/>
    <n v="0.41"/>
  </r>
  <r>
    <s v="Men 45-60"/>
    <s v="Market Expansion"/>
    <s v="60 Days"/>
    <x v="3"/>
    <n v="0.05"/>
    <n v="13271.36"/>
    <n v="7.07"/>
    <n v="35041"/>
    <n v="105312"/>
    <n v="5"/>
    <s v="Health"/>
    <d v="2022-09-16T00:00:00"/>
    <s v="Well Wish"/>
    <x v="8"/>
    <n v="14598.495999999999"/>
    <n v="1327.136"/>
    <n v="0.38"/>
  </r>
  <r>
    <s v="Women 25-34"/>
    <s v="Product Launch"/>
    <s v="45 Days"/>
    <x v="0"/>
    <n v="0.04"/>
    <n v="8133.99"/>
    <n v="0.33"/>
    <n v="21286"/>
    <n v="64570"/>
    <n v="2"/>
    <s v="Health"/>
    <d v="2022-10-06T00:00:00"/>
    <s v="Pulse Point"/>
    <x v="5"/>
    <n v="8947.3889999999992"/>
    <n v="813.39900000000102"/>
    <n v="0.38"/>
  </r>
  <r>
    <s v="Men 45-60"/>
    <s v="Increase Sales"/>
    <s v="15 Days"/>
    <x v="2"/>
    <n v="0.06"/>
    <n v="500"/>
    <n v="0.99919720391586198"/>
    <n v="609"/>
    <n v="2965"/>
    <n v="1"/>
    <s v="Food"/>
    <d v="2022-06-07T00:00:00"/>
    <s v="Nosh Nirvana"/>
    <x v="9"/>
    <n v="550"/>
    <n v="50"/>
    <n v="0.82"/>
  </r>
  <r>
    <s v="Women 25-34"/>
    <s v="Market Expansion"/>
    <s v="15 Days"/>
    <x v="0"/>
    <n v="0.03"/>
    <n v="500"/>
    <n v="0.2"/>
    <n v="724"/>
    <n v="3666"/>
    <n v="10"/>
    <s v="Health"/>
    <d v="2022-04-03T00:00:00"/>
    <s v="Heal Hub"/>
    <x v="10"/>
    <n v="550"/>
    <n v="50"/>
    <n v="0.69"/>
  </r>
  <r>
    <s v="All Ages"/>
    <s v="Increase Sales"/>
    <s v="45 Days"/>
    <x v="1"/>
    <n v="0.1"/>
    <n v="10150.66"/>
    <n v="2.98"/>
    <n v="26769"/>
    <n v="80812"/>
    <n v="3"/>
    <s v="Health"/>
    <d v="2022-07-08T00:00:00"/>
    <s v="Fitness Front"/>
    <x v="0"/>
    <n v="11165.726000000001"/>
    <n v="1015.066"/>
    <n v="0.38"/>
  </r>
  <r>
    <s v="Men 35-44"/>
    <s v="Brand Awareness"/>
    <s v="60 Days"/>
    <x v="1"/>
    <n v="0.13"/>
    <n v="14265.89"/>
    <n v="0.03"/>
    <n v="37210"/>
    <n v="111738"/>
    <n v="6"/>
    <s v="Health"/>
    <d v="2022-10-28T00:00:00"/>
    <s v="Wellness Waves"/>
    <x v="5"/>
    <n v="15692.478999999999"/>
    <n v="1426.5889999999999"/>
    <n v="0.38"/>
  </r>
  <r>
    <s v="Women 35-44"/>
    <s v="Increase Sales"/>
    <s v="60 Days"/>
    <x v="1"/>
    <n v="0.09"/>
    <n v="15000"/>
    <n v="2.57"/>
    <n v="39344"/>
    <n v="118057"/>
    <n v="1"/>
    <s v="Health"/>
    <d v="2022-09-29T00:00:00"/>
    <s v="Pulse Point"/>
    <x v="8"/>
    <n v="16500"/>
    <n v="1500"/>
    <n v="0.38"/>
  </r>
  <r>
    <s v="Women 18-24"/>
    <s v="Increase Sales"/>
    <s v="30 Days"/>
    <x v="2"/>
    <n v="0.14000000000000001"/>
    <n v="6248.2"/>
    <n v="1.0778459999307"/>
    <n v="9494"/>
    <n v="31896"/>
    <n v="1"/>
    <s v="Food"/>
    <d v="2022-07-01T00:00:00"/>
    <s v="Nosh Nirvana"/>
    <x v="0"/>
    <n v="6873.02"/>
    <n v="624.82000000000005"/>
    <n v="0.66"/>
  </r>
  <r>
    <s v="Men 45-60"/>
    <s v="Market Expansion"/>
    <s v="30 Days"/>
    <x v="1"/>
    <n v="0.01"/>
    <n v="6415.32"/>
    <n v="6.46"/>
    <n v="16621"/>
    <n v="50752"/>
    <n v="9"/>
    <s v="Technology"/>
    <d v="2022-07-18T00:00:00"/>
    <s v="Pixel Pioneers"/>
    <x v="0"/>
    <n v="7056.8519999999999"/>
    <n v="641.53200000000004"/>
    <n v="0.39"/>
  </r>
  <r>
    <s v="Women 35-44"/>
    <s v="Market Expansion"/>
    <s v="60 Days"/>
    <x v="3"/>
    <n v="0.05"/>
    <n v="12499.75"/>
    <n v="7.11"/>
    <n v="33083"/>
    <n v="99512"/>
    <n v="10"/>
    <s v="Fashion"/>
    <d v="2022-05-06T00:00:00"/>
    <s v="Runway Rebels"/>
    <x v="4"/>
    <n v="13749.725"/>
    <n v="1249.9749999999999"/>
    <n v="0.38"/>
  </r>
  <r>
    <s v="Men 35-44"/>
    <s v="Increase Sales"/>
    <s v="60 Days"/>
    <x v="3"/>
    <n v="0.15"/>
    <n v="12797.16"/>
    <n v="2.16"/>
    <n v="33865"/>
    <n v="101830"/>
    <n v="8"/>
    <s v="Food"/>
    <d v="2022-12-14T00:00:00"/>
    <s v="Feast Flavors"/>
    <x v="7"/>
    <n v="14076.876"/>
    <n v="1279.7159999999999"/>
    <n v="0.38"/>
  </r>
  <r>
    <s v="Men 25-34"/>
    <s v="Market Expansion"/>
    <s v="60 Days"/>
    <x v="3"/>
    <n v="0.14000000000000001"/>
    <n v="12070.89"/>
    <n v="3.82"/>
    <n v="31953"/>
    <n v="96167"/>
    <n v="5"/>
    <s v="Home"/>
    <d v="2022-09-23T00:00:00"/>
    <s v="Space Spruce"/>
    <x v="8"/>
    <n v="13277.978999999999"/>
    <n v="1207.0889999999999"/>
    <n v="0.38"/>
  </r>
  <r>
    <s v="All Ages"/>
    <s v="Brand Awareness"/>
    <s v="45 Days"/>
    <x v="2"/>
    <n v="0.01"/>
    <n v="10017.36"/>
    <n v="0.88301148253029704"/>
    <n v="15501"/>
    <n v="51457"/>
    <n v="1"/>
    <s v="Fashion"/>
    <d v="2022-04-17T00:00:00"/>
    <s v="Chic Couture"/>
    <x v="10"/>
    <n v="11019.096"/>
    <n v="1001.736"/>
    <n v="0.65"/>
  </r>
  <r>
    <s v="Women 45-60"/>
    <s v="Product Launch"/>
    <s v="60 Days"/>
    <x v="2"/>
    <n v="0.1"/>
    <n v="15000"/>
    <n v="0.700689273586794"/>
    <n v="22755"/>
    <n v="75076"/>
    <n v="1"/>
    <s v="Home"/>
    <d v="2022-08-18T00:00:00"/>
    <s v="Hearth Harmony"/>
    <x v="2"/>
    <n v="16500"/>
    <n v="1500"/>
    <n v="0.66"/>
  </r>
  <r>
    <s v="Men 18-24"/>
    <s v="Brand Awareness"/>
    <s v="45 Days"/>
    <x v="2"/>
    <n v="0.14000000000000001"/>
    <n v="9882.5300000000007"/>
    <n v="1.1761569949492601"/>
    <n v="15292"/>
    <n v="50776"/>
    <n v="1"/>
    <s v="Food"/>
    <d v="2022-02-11T00:00:00"/>
    <s v="Gourmet Grove"/>
    <x v="6"/>
    <n v="10870.782999999999"/>
    <n v="988.25300000000004"/>
    <n v="0.65"/>
  </r>
  <r>
    <s v="Men 45-60"/>
    <s v="Market Expansion"/>
    <s v="15 Days"/>
    <x v="1"/>
    <n v="0.04"/>
    <n v="500"/>
    <n v="4.99"/>
    <n v="1536"/>
    <n v="6071"/>
    <n v="4"/>
    <s v="Technology"/>
    <d v="2022-10-05T00:00:00"/>
    <s v="Pixel Pioneers"/>
    <x v="5"/>
    <n v="550"/>
    <n v="50"/>
    <n v="0.33"/>
  </r>
  <r>
    <s v="Women 25-34"/>
    <s v="Brand Awareness"/>
    <s v="30 Days"/>
    <x v="1"/>
    <n v="0.01"/>
    <n v="5265.1"/>
    <n v="6.55"/>
    <n v="13496"/>
    <n v="41496"/>
    <n v="6"/>
    <s v="Health"/>
    <d v="2022-12-08T00:00:00"/>
    <s v="Wellness Waves"/>
    <x v="7"/>
    <n v="5791.61"/>
    <n v="526.51"/>
    <n v="0.39"/>
  </r>
  <r>
    <s v="Men 45-60"/>
    <s v="Market Expansion"/>
    <s v="30 Days"/>
    <x v="0"/>
    <n v="0.01"/>
    <n v="6255.15"/>
    <n v="3.03"/>
    <n v="16182"/>
    <n v="49453"/>
    <n v="7"/>
    <s v="Home"/>
    <d v="2022-02-14T00:00:00"/>
    <s v="Living Luxe"/>
    <x v="6"/>
    <n v="6880.665"/>
    <n v="625.51499999999999"/>
    <n v="0.39"/>
  </r>
  <r>
    <s v="Men 35-44"/>
    <s v="Brand Awareness"/>
    <s v="30 Days"/>
    <x v="3"/>
    <n v="0.04"/>
    <n v="7173.65"/>
    <n v="0.44"/>
    <n v="18671"/>
    <n v="56823"/>
    <n v="7"/>
    <s v="Technology"/>
    <d v="2022-10-05T00:00:00"/>
    <s v="Pixel Pioneers"/>
    <x v="5"/>
    <n v="7891.0150000000003"/>
    <n v="717.36500000000001"/>
    <n v="0.38"/>
  </r>
  <r>
    <s v="Men 45-60"/>
    <s v="Increase Sales"/>
    <s v="15 Days"/>
    <x v="1"/>
    <n v="0.05"/>
    <n v="584.6"/>
    <n v="2.81"/>
    <n v="2205"/>
    <n v="8050"/>
    <n v="1"/>
    <s v="Home"/>
    <d v="2022-09-19T00:00:00"/>
    <s v="Cozy Corners"/>
    <x v="8"/>
    <n v="643.05999999999995"/>
    <n v="58.46"/>
    <n v="0.27"/>
  </r>
  <r>
    <s v="Women 18-24"/>
    <s v="Increase Sales"/>
    <s v="45 Days"/>
    <x v="1"/>
    <n v="0.02"/>
    <n v="9809.0499999999993"/>
    <n v="6.41"/>
    <n v="25845"/>
    <n v="78074"/>
    <n v="1"/>
    <s v="Food"/>
    <d v="2022-12-09T00:00:00"/>
    <s v="Epicurean Edge"/>
    <x v="7"/>
    <n v="10789.955"/>
    <n v="980.90499999999997"/>
    <n v="0.38"/>
  </r>
  <r>
    <s v="All Ages"/>
    <s v="Product Launch"/>
    <s v="45 Days"/>
    <x v="3"/>
    <n v="0.13"/>
    <n v="8400.7099999999991"/>
    <n v="1.55"/>
    <n v="22015"/>
    <n v="66729"/>
    <n v="3"/>
    <s v="Home"/>
    <d v="2022-04-17T00:00:00"/>
    <s v="Dwell Delight"/>
    <x v="10"/>
    <n v="9240.7809999999899"/>
    <n v="840.070999999999"/>
    <n v="0.38"/>
  </r>
  <r>
    <s v="Men 18-24"/>
    <s v="Increase Sales"/>
    <s v="60 Days"/>
    <x v="0"/>
    <n v="0.04"/>
    <n v="13232.72"/>
    <n v="1.24"/>
    <n v="34949"/>
    <n v="105039"/>
    <n v="10"/>
    <s v="Health"/>
    <d v="2022-03-03T00:00:00"/>
    <s v="Well Wish"/>
    <x v="11"/>
    <n v="14555.992"/>
    <n v="1323.2719999999999"/>
    <n v="0.38"/>
  </r>
  <r>
    <s v="Women 35-44"/>
    <s v="Brand Awareness"/>
    <s v="15 Days"/>
    <x v="0"/>
    <n v="0.09"/>
    <n v="500"/>
    <n v="5.12"/>
    <n v="1404"/>
    <n v="5678"/>
    <n v="6"/>
    <s v="Technology"/>
    <d v="2022-04-04T00:00:00"/>
    <s v="Giga Geeks"/>
    <x v="10"/>
    <n v="550"/>
    <n v="50"/>
    <n v="0.36"/>
  </r>
  <r>
    <s v="Women 18-24"/>
    <s v="Brand Awareness"/>
    <s v="45 Days"/>
    <x v="1"/>
    <n v="0.01"/>
    <n v="8504.86"/>
    <n v="3.7"/>
    <n v="22301"/>
    <n v="67576"/>
    <n v="3"/>
    <s v="Health"/>
    <d v="2022-11-11T00:00:00"/>
    <s v="Vital Vigor"/>
    <x v="3"/>
    <n v="9355.3459999999995"/>
    <n v="850.48599999999999"/>
    <n v="0.38"/>
  </r>
  <r>
    <s v="Women 45-60"/>
    <s v="Increase Sales"/>
    <s v="30 Days"/>
    <x v="2"/>
    <n v="0.15"/>
    <n v="7113.98"/>
    <n v="5.3624179101030003E-3"/>
    <n v="10869"/>
    <n v="36374"/>
    <n v="1"/>
    <s v="Food"/>
    <d v="2022-02-11T00:00:00"/>
    <s v="Savor Street"/>
    <x v="6"/>
    <n v="7825.3779999999997"/>
    <n v="711.39800000000002"/>
    <n v="0.65"/>
  </r>
  <r>
    <s v="Women 45-60"/>
    <s v="Brand Awareness"/>
    <s v="60 Days"/>
    <x v="2"/>
    <n v="0.05"/>
    <n v="11420.35"/>
    <n v="1.2422934825071901"/>
    <n v="17749"/>
    <n v="58776"/>
    <n v="1"/>
    <s v="Food"/>
    <d v="2022-05-08T00:00:00"/>
    <s v="Epicurean Edge"/>
    <x v="4"/>
    <n v="12562.385"/>
    <n v="1142.0350000000001"/>
    <n v="0.64"/>
  </r>
  <r>
    <s v="Men 45-60"/>
    <s v="Market Expansion"/>
    <s v="15 Days"/>
    <x v="2"/>
    <n v="0.01"/>
    <n v="500"/>
    <n v="0.58271607956452798"/>
    <n v="526"/>
    <n v="2697"/>
    <n v="1"/>
    <s v="Fashion"/>
    <d v="2022-09-27T00:00:00"/>
    <s v="Fiber Fashion"/>
    <x v="8"/>
    <n v="550"/>
    <n v="50"/>
    <n v="0.95"/>
  </r>
  <r>
    <s v="Women 35-44"/>
    <s v="Market Expansion"/>
    <s v="45 Days"/>
    <x v="1"/>
    <n v="0.02"/>
    <n v="9987.73"/>
    <n v="6.38"/>
    <n v="26316"/>
    <n v="79469"/>
    <n v="10"/>
    <s v="Technology"/>
    <d v="2022-12-23T00:00:00"/>
    <s v="Gadget Giants"/>
    <x v="7"/>
    <n v="10986.503000000001"/>
    <n v="998.77300000000105"/>
    <n v="0.38"/>
  </r>
  <r>
    <s v="Women 35-44"/>
    <s v="Brand Awareness"/>
    <s v="60 Days"/>
    <x v="3"/>
    <n v="0.13"/>
    <n v="11855.8"/>
    <n v="7.8"/>
    <n v="31387"/>
    <n v="94489"/>
    <n v="7"/>
    <s v="Fashion"/>
    <d v="2022-03-02T00:00:00"/>
    <s v="Attire Artistry"/>
    <x v="11"/>
    <n v="13041.38"/>
    <n v="1185.58"/>
    <n v="0.38"/>
  </r>
  <r>
    <s v="Men 25-34"/>
    <s v="Market Expansion"/>
    <s v="15 Days"/>
    <x v="3"/>
    <n v="7.0000000000000007E-2"/>
    <n v="3701.73"/>
    <n v="1.25"/>
    <n v="9230"/>
    <n v="28860"/>
    <n v="2"/>
    <s v="Food"/>
    <d v="2022-03-03T00:00:00"/>
    <s v="Dine Divine"/>
    <x v="11"/>
    <n v="4071.9029999999998"/>
    <n v="370.173"/>
    <n v="0.4"/>
  </r>
  <r>
    <s v="Women 18-24"/>
    <s v="Increase Sales"/>
    <s v="15 Days"/>
    <x v="1"/>
    <n v="0.06"/>
    <n v="3290.85"/>
    <n v="7.27"/>
    <n v="8133"/>
    <n v="25609"/>
    <n v="5"/>
    <s v="Food"/>
    <d v="2022-12-01T00:00:00"/>
    <s v="Epicurean Edge"/>
    <x v="7"/>
    <n v="3619.9349999999999"/>
    <n v="329.08499999999998"/>
    <n v="0.4"/>
  </r>
  <r>
    <s v="All Ages"/>
    <s v="Increase Sales"/>
    <s v="30 Days"/>
    <x v="2"/>
    <n v="0.13"/>
    <n v="7277.33"/>
    <n v="0.74180114423091703"/>
    <n v="11127"/>
    <n v="37213"/>
    <n v="1"/>
    <s v="Fashion"/>
    <d v="2022-01-15T00:00:00"/>
    <s v="Runway Rebels"/>
    <x v="1"/>
    <n v="8005.0630000000001"/>
    <n v="727.73300000000097"/>
    <n v="0.65"/>
  </r>
  <r>
    <s v="Women 45-60"/>
    <s v="Market Expansion"/>
    <s v="15 Days"/>
    <x v="3"/>
    <n v="0.04"/>
    <n v="1939.2"/>
    <n v="7.97"/>
    <n v="4757"/>
    <n v="15611"/>
    <n v="6"/>
    <s v="Health"/>
    <d v="2022-03-04T00:00:00"/>
    <s v="Vital Vigor"/>
    <x v="11"/>
    <n v="2133.12"/>
    <n v="193.92"/>
    <n v="0.41"/>
  </r>
  <r>
    <s v="Women 18-24"/>
    <s v="Brand Awareness"/>
    <s v="15 Days"/>
    <x v="3"/>
    <n v="0.1"/>
    <n v="3430.98"/>
    <n v="0.78"/>
    <n v="8503"/>
    <n v="26705"/>
    <n v="4"/>
    <s v="Home"/>
    <d v="2022-08-22T00:00:00"/>
    <s v="Furnish Fine"/>
    <x v="2"/>
    <n v="3774.078"/>
    <n v="343.09800000000001"/>
    <n v="0.4"/>
  </r>
  <r>
    <s v="Women 35-44"/>
    <s v="Product Launch"/>
    <s v="60 Days"/>
    <x v="0"/>
    <n v="0.08"/>
    <n v="11671.1"/>
    <n v="2.8"/>
    <n v="30903"/>
    <n v="93055"/>
    <n v="4"/>
    <s v="Fashion"/>
    <d v="2022-01-14T00:00:00"/>
    <s v="Vogue Visions"/>
    <x v="1"/>
    <n v="12838.21"/>
    <n v="1167.1099999999999"/>
    <n v="0.38"/>
  </r>
  <r>
    <s v="Women 35-44"/>
    <s v="Market Expansion"/>
    <s v="15 Days"/>
    <x v="2"/>
    <n v="0.12"/>
    <n v="1607.54"/>
    <n v="0.74180114423091703"/>
    <n v="2364"/>
    <n v="8681"/>
    <n v="1"/>
    <s v="Health"/>
    <d v="2022-02-26T00:00:00"/>
    <s v="Wellness Waves"/>
    <x v="6"/>
    <n v="1768.2940000000001"/>
    <n v="160.75399999999999"/>
    <n v="0.68"/>
  </r>
  <r>
    <s v="Men 35-44"/>
    <s v="Market Expansion"/>
    <s v="30 Days"/>
    <x v="2"/>
    <n v="0.05"/>
    <n v="7176.48"/>
    <n v="1.3298796417055401"/>
    <n v="10970"/>
    <n v="36702"/>
    <n v="1"/>
    <s v="Food"/>
    <d v="2022-09-10T00:00:00"/>
    <s v="Dine Divine"/>
    <x v="8"/>
    <n v="7894.1279999999997"/>
    <n v="717.64800000000105"/>
    <n v="0.65"/>
  </r>
  <r>
    <s v="Men 35-44"/>
    <s v="Brand Awareness"/>
    <s v="45 Days"/>
    <x v="3"/>
    <n v="0.13"/>
    <n v="9250.01"/>
    <n v="4.17"/>
    <n v="24300"/>
    <n v="73498"/>
    <n v="2"/>
    <s v="Home"/>
    <d v="2022-07-31T00:00:00"/>
    <s v="Homely Haven"/>
    <x v="0"/>
    <n v="10175.011"/>
    <n v="925.00099999999998"/>
    <n v="0.38"/>
  </r>
  <r>
    <s v="Men 18-24"/>
    <s v="Brand Awareness"/>
    <s v="45 Days"/>
    <x v="2"/>
    <n v="0.02"/>
    <n v="11108.94"/>
    <n v="1.0706961093839"/>
    <n v="17254"/>
    <n v="57163"/>
    <n v="1"/>
    <s v="Food"/>
    <d v="2022-03-13T00:00:00"/>
    <s v="Epicurean Edge"/>
    <x v="11"/>
    <n v="12219.834000000001"/>
    <n v="1110.894"/>
    <n v="0.64"/>
  </r>
  <r>
    <s v="Men 35-44"/>
    <s v="Brand Awareness"/>
    <s v="60 Days"/>
    <x v="1"/>
    <n v="0.12"/>
    <n v="11718.89"/>
    <n v="5.33"/>
    <n v="31029"/>
    <n v="93428"/>
    <n v="3"/>
    <s v="Home"/>
    <d v="2022-03-09T00:00:00"/>
    <s v="Homely Haven"/>
    <x v="11"/>
    <n v="12890.779"/>
    <n v="1171.8889999999999"/>
    <n v="0.38"/>
  </r>
  <r>
    <s v="Women 45-60"/>
    <s v="Brand Awareness"/>
    <s v="15 Days"/>
    <x v="1"/>
    <n v="0.02"/>
    <n v="3775.33"/>
    <n v="7.18"/>
    <n v="9430"/>
    <n v="29453"/>
    <n v="10"/>
    <s v="Health"/>
    <d v="2022-05-04T00:00:00"/>
    <s v="Heal Hub"/>
    <x v="4"/>
    <n v="4152.8630000000003"/>
    <n v="377.53300000000002"/>
    <n v="0.4"/>
  </r>
  <r>
    <s v="Men 45-60"/>
    <s v="Increase Sales"/>
    <s v="45 Days"/>
    <x v="2"/>
    <n v="0.14000000000000001"/>
    <n v="10380.959999999999"/>
    <n v="0.57377871638102296"/>
    <n v="16085"/>
    <n v="53356"/>
    <n v="1"/>
    <s v="Technology"/>
    <d v="2022-09-30T00:00:00"/>
    <s v="Innovate Infinity"/>
    <x v="8"/>
    <n v="11419.056"/>
    <n v="1038.096"/>
    <n v="0.65"/>
  </r>
  <r>
    <s v="Women 45-60"/>
    <s v="Brand Awareness"/>
    <s v="15 Days"/>
    <x v="0"/>
    <n v="0.09"/>
    <n v="2217.17"/>
    <n v="1.44"/>
    <n v="5423"/>
    <n v="17582"/>
    <n v="8"/>
    <s v="Home"/>
    <d v="2022-06-22T00:00:00"/>
    <s v="Nest Neat"/>
    <x v="9"/>
    <n v="2438.8870000000002"/>
    <n v="221.71700000000001"/>
    <n v="0.41"/>
  </r>
  <r>
    <s v="Women 35-44"/>
    <s v="Increase Sales"/>
    <s v="15 Days"/>
    <x v="3"/>
    <n v="0.09"/>
    <n v="2205.65"/>
    <n v="7.02"/>
    <n v="5396"/>
    <n v="17502"/>
    <n v="6"/>
    <s v="Health"/>
    <d v="2022-12-25T00:00:00"/>
    <s v="Wellness Waves"/>
    <x v="7"/>
    <n v="2426.2150000000001"/>
    <n v="220.565"/>
    <n v="0.41"/>
  </r>
  <r>
    <s v="Women 35-44"/>
    <s v="Brand Awareness"/>
    <s v="30 Days"/>
    <x v="2"/>
    <n v="0.15"/>
    <n v="4571.1400000000003"/>
    <n v="0.98847236809565597"/>
    <n v="6815"/>
    <n v="23172"/>
    <n v="1"/>
    <s v="Home"/>
    <d v="2022-09-04T00:00:00"/>
    <s v="Cozy Corners"/>
    <x v="8"/>
    <n v="5028.2539999999999"/>
    <n v="457.11399999999998"/>
    <n v="0.67"/>
  </r>
  <r>
    <s v="Men 45-60"/>
    <s v="Increase Sales"/>
    <s v="15 Days"/>
    <x v="3"/>
    <n v="0.11"/>
    <n v="3942.61"/>
    <n v="0.38"/>
    <n v="9885"/>
    <n v="30800"/>
    <n v="4"/>
    <s v="Fashion"/>
    <d v="2022-05-07T00:00:00"/>
    <s v="Attire Artistry"/>
    <x v="4"/>
    <n v="4336.8710000000001"/>
    <n v="394.260999999999"/>
    <n v="0.4"/>
  </r>
  <r>
    <s v="Men 35-44"/>
    <s v="Brand Awareness"/>
    <s v="30 Days"/>
    <x v="0"/>
    <n v="0.02"/>
    <n v="7683.85"/>
    <n v="6.44"/>
    <n v="20043"/>
    <n v="60887"/>
    <n v="5"/>
    <s v="Home"/>
    <d v="2022-07-14T00:00:00"/>
    <s v="Living Luxe"/>
    <x v="0"/>
    <n v="8452.2350000000006"/>
    <n v="768.38499999999999"/>
    <n v="0.38"/>
  </r>
  <r>
    <s v="Women 45-60"/>
    <s v="Product Launch"/>
    <s v="15 Days"/>
    <x v="0"/>
    <n v="0.11"/>
    <n v="500"/>
    <n v="6.68"/>
    <n v="1502"/>
    <n v="5969"/>
    <n v="9"/>
    <s v="Health"/>
    <d v="2022-09-01T00:00:00"/>
    <s v="Heal Hub"/>
    <x v="8"/>
    <n v="550"/>
    <n v="50"/>
    <n v="0.33"/>
  </r>
  <r>
    <s v="Women 35-44"/>
    <s v="Increase Sales"/>
    <s v="30 Days"/>
    <x v="0"/>
    <n v="0.11"/>
    <n v="7285.35"/>
    <n v="2.72"/>
    <n v="18967"/>
    <n v="57700"/>
    <n v="2"/>
    <s v="Health"/>
    <d v="2022-09-08T00:00:00"/>
    <s v="Aura Align"/>
    <x v="8"/>
    <n v="8013.8850000000002"/>
    <n v="728.53499999999997"/>
    <n v="0.38"/>
  </r>
  <r>
    <s v="Women 45-60"/>
    <s v="Market Expansion"/>
    <s v="15 Days"/>
    <x v="2"/>
    <n v="0.03"/>
    <n v="2423.17"/>
    <n v="0.22343407958762501"/>
    <n v="3477"/>
    <n v="12304"/>
    <n v="1"/>
    <s v="Food"/>
    <d v="2022-05-30T00:00:00"/>
    <s v="Dine Divine"/>
    <x v="4"/>
    <n v="2665.4870000000001"/>
    <n v="242.31700000000001"/>
    <n v="0.7"/>
  </r>
  <r>
    <s v="Women 45-60"/>
    <s v="Increase Sales"/>
    <s v="45 Days"/>
    <x v="3"/>
    <n v="0.08"/>
    <n v="10402.86"/>
    <n v="3.26"/>
    <n v="27446"/>
    <n v="82816"/>
    <n v="1"/>
    <s v="Food"/>
    <d v="2022-09-05T00:00:00"/>
    <s v="Dine Divine"/>
    <x v="8"/>
    <n v="11443.146000000001"/>
    <n v="1040.2860000000001"/>
    <n v="0.38"/>
  </r>
  <r>
    <s v="Women 35-44"/>
    <s v="Brand Awareness"/>
    <s v="15 Days"/>
    <x v="1"/>
    <n v="0.12"/>
    <n v="500"/>
    <n v="0.63"/>
    <n v="533"/>
    <n v="3099"/>
    <n v="6"/>
    <s v="Food"/>
    <d v="2022-06-12T00:00:00"/>
    <s v="Palate Paradise"/>
    <x v="9"/>
    <n v="550"/>
    <n v="50"/>
    <n v="0.94"/>
  </r>
  <r>
    <s v="Men 45-60"/>
    <s v="Increase Sales"/>
    <s v="60 Days"/>
    <x v="1"/>
    <n v="0.05"/>
    <n v="15000"/>
    <n v="0.17"/>
    <n v="38912"/>
    <n v="116778"/>
    <n v="7"/>
    <s v="Technology"/>
    <d v="2022-06-02T00:00:00"/>
    <s v="Pixel Pioneers"/>
    <x v="9"/>
    <n v="16500"/>
    <n v="1500"/>
    <n v="0.39"/>
  </r>
  <r>
    <s v="Men 25-34"/>
    <s v="Brand Awareness"/>
    <s v="30 Days"/>
    <x v="1"/>
    <n v="0.14000000000000001"/>
    <n v="4271.4399999999996"/>
    <n v="6.01"/>
    <n v="10785"/>
    <n v="33466"/>
    <n v="1"/>
    <s v="Technology"/>
    <d v="2022-09-10T00:00:00"/>
    <s v="Pixel Pioneers"/>
    <x v="8"/>
    <n v="4698.5839999999998"/>
    <n v="427.14400000000001"/>
    <n v="0.4"/>
  </r>
  <r>
    <s v="Men 18-24"/>
    <s v="Product Launch"/>
    <s v="60 Days"/>
    <x v="3"/>
    <n v="0.11"/>
    <n v="12320.14"/>
    <n v="4.67"/>
    <n v="32614"/>
    <n v="98123"/>
    <n v="7"/>
    <s v="Home"/>
    <d v="2022-07-22T00:00:00"/>
    <s v="Nest Neat"/>
    <x v="0"/>
    <n v="13552.154"/>
    <n v="1232.0139999999999"/>
    <n v="0.38"/>
  </r>
  <r>
    <s v="Men 35-44"/>
    <s v="Brand Awareness"/>
    <s v="30 Days"/>
    <x v="3"/>
    <n v="0.04"/>
    <n v="5359.93"/>
    <n v="7.88"/>
    <n v="13749"/>
    <n v="42245"/>
    <n v="2"/>
    <s v="Food"/>
    <d v="2022-11-22T00:00:00"/>
    <s v="Palate Paradise"/>
    <x v="3"/>
    <n v="5895.9229999999998"/>
    <n v="535.99300000000005"/>
    <n v="0.39"/>
  </r>
  <r>
    <s v="Men 35-44"/>
    <s v="Product Launch"/>
    <s v="15 Days"/>
    <x v="2"/>
    <n v="0.14000000000000001"/>
    <n v="500"/>
    <n v="0.91518598999091505"/>
    <n v="1091"/>
    <n v="4535"/>
    <n v="1"/>
    <s v="Technology"/>
    <d v="2022-04-05T00:00:00"/>
    <s v="Pixel Pioneers"/>
    <x v="10"/>
    <n v="550"/>
    <n v="50"/>
    <n v="0.46"/>
  </r>
  <r>
    <s v="Men 25-34"/>
    <s v="Increase Sales"/>
    <s v="15 Days"/>
    <x v="1"/>
    <n v="0.02"/>
    <n v="2310.5500000000002"/>
    <n v="5.41"/>
    <n v="5649"/>
    <n v="18253"/>
    <n v="4"/>
    <s v="Technology"/>
    <d v="2022-10-02T00:00:00"/>
    <s v="Tech Titans"/>
    <x v="5"/>
    <n v="2541.605"/>
    <n v="231.05500000000001"/>
    <n v="0.41"/>
  </r>
  <r>
    <s v="Men 25-34"/>
    <s v="Product Launch"/>
    <s v="45 Days"/>
    <x v="3"/>
    <n v="0.01"/>
    <n v="8496.9500000000007"/>
    <n v="5.55"/>
    <n v="22280"/>
    <n v="67514"/>
    <n v="7"/>
    <s v="Technology"/>
    <d v="2022-08-28T00:00:00"/>
    <s v="Code Crafters"/>
    <x v="2"/>
    <n v="9346.6450000000004"/>
    <n v="849.69500000000096"/>
    <n v="0.38"/>
  </r>
  <r>
    <s v="Women 45-60"/>
    <s v="Brand Awareness"/>
    <s v="30 Days"/>
    <x v="1"/>
    <n v="0.13"/>
    <n v="4357.3"/>
    <n v="0.09"/>
    <n v="11016"/>
    <n v="34149"/>
    <n v="10"/>
    <s v="Health"/>
    <d v="2022-12-05T00:00:00"/>
    <s v="Pulse Point"/>
    <x v="7"/>
    <n v="4793.03"/>
    <n v="435.73"/>
    <n v="0.4"/>
  </r>
  <r>
    <s v="Women 25-34"/>
    <s v="Brand Awareness"/>
    <s v="15 Days"/>
    <x v="3"/>
    <n v="0.03"/>
    <n v="2374.9299999999998"/>
    <n v="3.49"/>
    <n v="5806"/>
    <n v="18718"/>
    <n v="3"/>
    <s v="Health"/>
    <d v="2022-08-19T00:00:00"/>
    <s v="Aura Align"/>
    <x v="2"/>
    <n v="2612.4229999999998"/>
    <n v="237.49299999999999"/>
    <n v="0.41"/>
  </r>
  <r>
    <s v="Men 35-44"/>
    <s v="Product Launch"/>
    <s v="15 Days"/>
    <x v="1"/>
    <n v="0.04"/>
    <n v="2621.9"/>
    <n v="7.37"/>
    <n v="6415"/>
    <n v="20523"/>
    <n v="10"/>
    <s v="Technology"/>
    <d v="2022-12-05T00:00:00"/>
    <s v="Innovate Infinity"/>
    <x v="7"/>
    <n v="2884.09"/>
    <n v="262.19"/>
    <n v="0.41"/>
  </r>
  <r>
    <s v="Women 25-34"/>
    <s v="Market Expansion"/>
    <s v="45 Days"/>
    <x v="3"/>
    <n v="0.14000000000000001"/>
    <n v="9391.75"/>
    <n v="2.76"/>
    <n v="24681"/>
    <n v="74625"/>
    <n v="4"/>
    <s v="Health"/>
    <d v="2022-04-10T00:00:00"/>
    <s v="Well Wish"/>
    <x v="10"/>
    <n v="10330.924999999999"/>
    <n v="939.17500000000098"/>
    <n v="0.38"/>
  </r>
  <r>
    <s v="Women 45-60"/>
    <s v="Increase Sales"/>
    <s v="60 Days"/>
    <x v="3"/>
    <n v="0.08"/>
    <n v="14064.72"/>
    <n v="5.81"/>
    <n v="36806"/>
    <n v="110542"/>
    <n v="4"/>
    <s v="Home"/>
    <d v="2022-08-08T00:00:00"/>
    <s v="Domestic Dream"/>
    <x v="2"/>
    <n v="15471.191999999999"/>
    <n v="1406.472"/>
    <n v="0.38"/>
  </r>
  <r>
    <s v="Men 35-44"/>
    <s v="Market Expansion"/>
    <s v="60 Days"/>
    <x v="1"/>
    <n v="0.04"/>
    <n v="12327.33"/>
    <n v="1.07"/>
    <n v="32633"/>
    <n v="98180"/>
    <n v="8"/>
    <s v="Food"/>
    <d v="2022-01-31T00:00:00"/>
    <s v="Savor Street"/>
    <x v="1"/>
    <n v="13560.063"/>
    <n v="1232.7329999999999"/>
    <n v="0.38"/>
  </r>
  <r>
    <s v="Men 45-60"/>
    <s v="Increase Sales"/>
    <s v="30 Days"/>
    <x v="2"/>
    <n v="0.12"/>
    <n v="5915.34"/>
    <n v="1.2834053531513201"/>
    <n v="8968"/>
    <n v="30184"/>
    <n v="1"/>
    <s v="Home"/>
    <d v="2022-10-05T00:00:00"/>
    <s v="Nest Neat"/>
    <x v="5"/>
    <n v="6506.8739999999998"/>
    <n v="591.53399999999999"/>
    <n v="0.66"/>
  </r>
  <r>
    <s v="Men 18-24"/>
    <s v="Brand Awareness"/>
    <s v="15 Days"/>
    <x v="1"/>
    <n v="0.04"/>
    <n v="1397.25"/>
    <n v="6.49"/>
    <n v="3600"/>
    <n v="12184"/>
    <n v="9"/>
    <s v="Home"/>
    <d v="2022-07-10T00:00:00"/>
    <s v="Dwell Delight"/>
    <x v="0"/>
    <n v="1536.9749999999999"/>
    <n v="139.72499999999999"/>
    <n v="0.39"/>
  </r>
  <r>
    <s v="Men 35-44"/>
    <s v="Brand Awareness"/>
    <s v="45 Days"/>
    <x v="0"/>
    <n v="7.0000000000000007E-2"/>
    <n v="8594.7900000000009"/>
    <n v="1.39"/>
    <n v="22546"/>
    <n v="68303"/>
    <n v="5"/>
    <s v="Fashion"/>
    <d v="2022-02-02T00:00:00"/>
    <s v="Chic Couture"/>
    <x v="6"/>
    <n v="9454.2690000000002"/>
    <n v="859.47900000000095"/>
    <n v="0.38"/>
  </r>
  <r>
    <s v="Men 25-34"/>
    <s v="Product Launch"/>
    <s v="15 Days"/>
    <x v="1"/>
    <n v="0.05"/>
    <n v="2766.89"/>
    <n v="4.28"/>
    <n v="6775"/>
    <n v="21588"/>
    <n v="4"/>
    <s v="Home"/>
    <d v="2022-02-02T00:00:00"/>
    <s v="Dwell Delight"/>
    <x v="6"/>
    <n v="3043.5790000000002"/>
    <n v="276.68900000000002"/>
    <n v="0.41"/>
  </r>
  <r>
    <s v="All Ages"/>
    <s v="Brand Awareness"/>
    <s v="60 Days"/>
    <x v="2"/>
    <n v="0.09"/>
    <n v="11795.97"/>
    <n v="0.27705825868865502"/>
    <n v="18349"/>
    <n v="60728"/>
    <n v="1"/>
    <s v="Technology"/>
    <d v="2022-01-08T00:00:00"/>
    <s v="Gadget Giants"/>
    <x v="1"/>
    <n v="12975.566999999999"/>
    <n v="1179.597"/>
    <n v="0.64"/>
  </r>
  <r>
    <s v="Men 45-60"/>
    <s v="Brand Awareness"/>
    <s v="45 Days"/>
    <x v="2"/>
    <n v="0.14000000000000001"/>
    <n v="10886.24"/>
    <n v="0.194834517400409"/>
    <n v="16893"/>
    <n v="55990"/>
    <n v="1"/>
    <s v="Fashion"/>
    <d v="2022-06-21T00:00:00"/>
    <s v="Chic Couture"/>
    <x v="9"/>
    <n v="11974.864"/>
    <n v="1088.624"/>
    <n v="0.64"/>
  </r>
  <r>
    <s v="Women 35-44"/>
    <s v="Product Launch"/>
    <s v="45 Days"/>
    <x v="0"/>
    <n v="0.12"/>
    <n v="9875.11"/>
    <n v="1.01"/>
    <n v="26022"/>
    <n v="78597"/>
    <n v="4"/>
    <s v="Fashion"/>
    <d v="2022-08-02T00:00:00"/>
    <s v="Attire Artistry"/>
    <x v="2"/>
    <n v="10862.620999999999"/>
    <n v="987.51099999999997"/>
    <n v="0.38"/>
  </r>
  <r>
    <s v="Women 35-44"/>
    <s v="Increase Sales"/>
    <s v="60 Days"/>
    <x v="2"/>
    <n v="0.03"/>
    <n v="11996.84"/>
    <n v="0.89731126362390501"/>
    <n v="18653"/>
    <n v="61719"/>
    <n v="1"/>
    <s v="Health"/>
    <d v="2022-03-23T00:00:00"/>
    <s v="Elixir Essence"/>
    <x v="11"/>
    <n v="13196.523999999999"/>
    <n v="1199.684"/>
    <n v="0.64"/>
  </r>
  <r>
    <s v="Women 18-24"/>
    <s v="Product Launch"/>
    <s v="45 Days"/>
    <x v="3"/>
    <n v="0.1"/>
    <n v="9142.2000000000007"/>
    <n v="4.74"/>
    <n v="24010"/>
    <n v="72637"/>
    <n v="2"/>
    <s v="Home"/>
    <d v="2022-06-18T00:00:00"/>
    <s v="Living Luxe"/>
    <x v="9"/>
    <n v="10056.42"/>
    <n v="914.22000000000105"/>
    <n v="0.38"/>
  </r>
  <r>
    <s v="Women 18-24"/>
    <s v="Market Expansion"/>
    <s v="60 Days"/>
    <x v="1"/>
    <n v="0.04"/>
    <n v="13251.55"/>
    <n v="2.76"/>
    <n v="34996"/>
    <n v="105178"/>
    <n v="5"/>
    <s v="Home"/>
    <d v="2022-05-11T00:00:00"/>
    <s v="Homely Haven"/>
    <x v="4"/>
    <n v="14576.705"/>
    <n v="1325.155"/>
    <n v="0.38"/>
  </r>
  <r>
    <s v="Women 35-44"/>
    <s v="Market Expansion"/>
    <s v="45 Days"/>
    <x v="3"/>
    <n v="7.0000000000000007E-2"/>
    <n v="10042.81"/>
    <n v="0.52"/>
    <n v="26465"/>
    <n v="79910"/>
    <n v="5"/>
    <s v="Food"/>
    <d v="2022-07-04T00:00:00"/>
    <s v="Culinary Quest"/>
    <x v="0"/>
    <n v="11047.091"/>
    <n v="1004.2809999999999"/>
    <n v="0.38"/>
  </r>
  <r>
    <s v="Men 45-60"/>
    <s v="Brand Awareness"/>
    <s v="15 Days"/>
    <x v="2"/>
    <n v="0.06"/>
    <n v="721.83"/>
    <n v="0.64170267657566105"/>
    <n v="1409"/>
    <n v="5568"/>
    <n v="1"/>
    <s v="Fashion"/>
    <d v="2022-01-05T00:00:00"/>
    <s v="Glam Garments"/>
    <x v="1"/>
    <n v="794.01300000000003"/>
    <n v="72.183000000000106"/>
    <n v="0.51"/>
  </r>
  <r>
    <s v="Men 45-60"/>
    <s v="Product Launch"/>
    <s v="45 Days"/>
    <x v="3"/>
    <n v="0.1"/>
    <n v="11023.5"/>
    <n v="4.22"/>
    <n v="29131"/>
    <n v="87808"/>
    <n v="8"/>
    <s v="Fashion"/>
    <d v="2022-03-23T00:00:00"/>
    <s v="Chic Couture"/>
    <x v="11"/>
    <n v="12125.85"/>
    <n v="1102.3499999999999"/>
    <n v="0.38"/>
  </r>
  <r>
    <s v="Women 35-44"/>
    <s v="Product Launch"/>
    <s v="15 Days"/>
    <x v="0"/>
    <n v="0.02"/>
    <n v="500"/>
    <n v="0.63"/>
    <n v="959"/>
    <n v="4361"/>
    <n v="8"/>
    <s v="Food"/>
    <d v="2022-05-23T00:00:00"/>
    <s v="Gastronomy Guild"/>
    <x v="4"/>
    <n v="550"/>
    <n v="50"/>
    <n v="0.52"/>
  </r>
  <r>
    <s v="Men 25-34"/>
    <s v="Brand Awareness"/>
    <s v="30 Days"/>
    <x v="3"/>
    <n v="0.09"/>
    <n v="4623.55"/>
    <n v="1.71"/>
    <n v="11749"/>
    <n v="36321"/>
    <n v="3"/>
    <s v="Fashion"/>
    <d v="2022-02-16T00:00:00"/>
    <s v="Attire Artistry"/>
    <x v="6"/>
    <n v="5085.9049999999997"/>
    <n v="462.35500000000002"/>
    <n v="0.39"/>
  </r>
  <r>
    <s v="Men 35-44"/>
    <s v="Brand Awareness"/>
    <s v="45 Days"/>
    <x v="0"/>
    <n v="0.1"/>
    <n v="8832.61"/>
    <n v="6.5"/>
    <n v="23177"/>
    <n v="70171"/>
    <n v="2"/>
    <s v="Health"/>
    <d v="2022-10-10T00:00:00"/>
    <s v="Wellness Waves"/>
    <x v="5"/>
    <n v="9715.8709999999992"/>
    <n v="883.26099999999997"/>
    <n v="0.38"/>
  </r>
  <r>
    <s v="Men 25-34"/>
    <s v="Brand Awareness"/>
    <s v="30 Days"/>
    <x v="0"/>
    <n v="0.08"/>
    <n v="6107.6"/>
    <n v="2.56"/>
    <n v="15790"/>
    <n v="48291"/>
    <n v="2"/>
    <s v="Home"/>
    <d v="2022-05-07T00:00:00"/>
    <s v="Homely Haven"/>
    <x v="4"/>
    <n v="6718.36"/>
    <n v="610.76"/>
    <n v="0.39"/>
  </r>
  <r>
    <s v="All Ages"/>
    <s v="Product Launch"/>
    <s v="30 Days"/>
    <x v="2"/>
    <n v="0.12"/>
    <n v="7494.21"/>
    <n v="1.3084299700651301"/>
    <n v="11471"/>
    <n v="38333"/>
    <n v="1"/>
    <s v="Home"/>
    <d v="2022-05-10T00:00:00"/>
    <s v="Dwell Delight"/>
    <x v="4"/>
    <n v="8243.6309999999994"/>
    <n v="749.42100000000096"/>
    <n v="0.65"/>
  </r>
  <r>
    <s v="Women 18-24"/>
    <s v="Brand Awareness"/>
    <s v="45 Days"/>
    <x v="3"/>
    <n v="0.12"/>
    <n v="10565.81"/>
    <n v="4.33"/>
    <n v="27891"/>
    <n v="84134"/>
    <n v="5"/>
    <s v="Fashion"/>
    <d v="2022-04-24T00:00:00"/>
    <s v="Trend Tailors"/>
    <x v="10"/>
    <n v="11622.391"/>
    <n v="1056.5809999999999"/>
    <n v="0.38"/>
  </r>
  <r>
    <s v="Women 18-24"/>
    <s v="Product Launch"/>
    <s v="60 Days"/>
    <x v="3"/>
    <n v="0.02"/>
    <n v="12258.06"/>
    <n v="3.91"/>
    <n v="32454"/>
    <n v="97648"/>
    <n v="6"/>
    <s v="Health"/>
    <d v="2022-08-28T00:00:00"/>
    <s v="Fitness Front"/>
    <x v="2"/>
    <n v="13483.866"/>
    <n v="1225.806"/>
    <n v="0.38"/>
  </r>
  <r>
    <s v="Women 25-34"/>
    <s v="Product Launch"/>
    <s v="45 Days"/>
    <x v="0"/>
    <n v="0.02"/>
    <n v="8659.9"/>
    <n v="4.21"/>
    <n v="22718"/>
    <n v="68812"/>
    <n v="3"/>
    <s v="Technology"/>
    <d v="2022-04-15T00:00:00"/>
    <s v="Innovate Infinity"/>
    <x v="10"/>
    <n v="9525.89"/>
    <n v="865.99000000000103"/>
    <n v="0.38"/>
  </r>
  <r>
    <s v="Men 35-44"/>
    <s v="Product Launch"/>
    <s v="15 Days"/>
    <x v="2"/>
    <n v="0.1"/>
    <n v="3870.5"/>
    <n v="0.46653035817896199"/>
    <n v="5688"/>
    <n v="19504"/>
    <n v="1"/>
    <s v="Health"/>
    <d v="2022-08-16T00:00:00"/>
    <s v="Fitness Front"/>
    <x v="2"/>
    <n v="4257.55"/>
    <n v="387.05"/>
    <n v="0.68"/>
  </r>
  <r>
    <s v="Men 35-44"/>
    <s v="Product Launch"/>
    <s v="30 Days"/>
    <x v="0"/>
    <n v="0.11"/>
    <n v="7107.52"/>
    <n v="7.68"/>
    <n v="18488"/>
    <n v="56281"/>
    <n v="2"/>
    <s v="Fashion"/>
    <d v="2022-08-21T00:00:00"/>
    <s v="Runway Rebels"/>
    <x v="2"/>
    <n v="7818.2719999999999"/>
    <n v="710.75199999999995"/>
    <n v="0.38"/>
  </r>
  <r>
    <s v="Men 18-24"/>
    <s v="Product Launch"/>
    <s v="60 Days"/>
    <x v="0"/>
    <n v="7.0000000000000007E-2"/>
    <n v="15000"/>
    <n v="3.4"/>
    <n v="39565"/>
    <n v="118712"/>
    <n v="8"/>
    <s v="Food"/>
    <d v="2022-05-11T00:00:00"/>
    <s v="Gastronomy Guild"/>
    <x v="4"/>
    <n v="16500"/>
    <n v="1500"/>
    <n v="0.38"/>
  </r>
  <r>
    <s v="Women 25-34"/>
    <s v="Increase Sales"/>
    <s v="45 Days"/>
    <x v="1"/>
    <n v="0.1"/>
    <n v="8031.53"/>
    <n v="6.29"/>
    <n v="21001"/>
    <n v="63727"/>
    <n v="1"/>
    <s v="Fashion"/>
    <d v="2022-11-17T00:00:00"/>
    <s v="Mode Maven"/>
    <x v="3"/>
    <n v="8834.6830000000009"/>
    <n v="803.15300000000104"/>
    <n v="0.38"/>
  </r>
  <r>
    <s v="Women 35-44"/>
    <s v="Product Launch"/>
    <s v="60 Days"/>
    <x v="1"/>
    <n v="0.11"/>
    <n v="13161.04"/>
    <n v="5.46"/>
    <n v="34776"/>
    <n v="104527"/>
    <n v="10"/>
    <s v="Food"/>
    <d v="2022-07-06T00:00:00"/>
    <s v="Savor Street"/>
    <x v="0"/>
    <n v="14477.144"/>
    <n v="1316.104"/>
    <n v="0.38"/>
  </r>
  <r>
    <s v="Women 25-34"/>
    <s v="Brand Awareness"/>
    <s v="15 Days"/>
    <x v="3"/>
    <n v="0.04"/>
    <n v="3978.56"/>
    <n v="7.9"/>
    <n v="9984"/>
    <n v="31093"/>
    <n v="10"/>
    <s v="Home"/>
    <d v="2022-10-06T00:00:00"/>
    <s v="Cozy Corners"/>
    <x v="5"/>
    <n v="4376.4160000000002"/>
    <n v="397.85599999999999"/>
    <n v="0.4"/>
  </r>
  <r>
    <s v="Women 18-24"/>
    <s v="Brand Awareness"/>
    <s v="60 Days"/>
    <x v="3"/>
    <n v="0.14000000000000001"/>
    <n v="14544.51"/>
    <n v="6.76"/>
    <n v="37712"/>
    <n v="113224"/>
    <n v="9"/>
    <s v="Fashion"/>
    <d v="2022-12-07T00:00:00"/>
    <s v="Attire Artistry"/>
    <x v="7"/>
    <n v="15998.960999999999"/>
    <n v="1454.451"/>
    <n v="0.39"/>
  </r>
  <r>
    <s v="Men 45-60"/>
    <s v="Market Expansion"/>
    <s v="45 Days"/>
    <x v="1"/>
    <n v="0.1"/>
    <n v="10430.67"/>
    <n v="6.78"/>
    <n v="27521"/>
    <n v="83038"/>
    <n v="10"/>
    <s v="Health"/>
    <d v="2022-05-26T00:00:00"/>
    <s v="Fitness Front"/>
    <x v="4"/>
    <n v="11473.736999999999"/>
    <n v="1043.067"/>
    <n v="0.38"/>
  </r>
  <r>
    <s v="Men 35-44"/>
    <s v="Brand Awareness"/>
    <s v="60 Days"/>
    <x v="1"/>
    <n v="0.1"/>
    <n v="13005.87"/>
    <n v="3.13"/>
    <n v="34392"/>
    <n v="103389"/>
    <n v="1"/>
    <s v="Fashion"/>
    <d v="2022-11-06T00:00:00"/>
    <s v="Attire Artistry"/>
    <x v="3"/>
    <n v="14306.457"/>
    <n v="1300.587"/>
    <n v="0.38"/>
  </r>
  <r>
    <s v="Women 25-34"/>
    <s v="Increase Sales"/>
    <s v="60 Days"/>
    <x v="1"/>
    <n v="0.1"/>
    <n v="15000"/>
    <n v="6.36"/>
    <n v="39242"/>
    <n v="117756"/>
    <n v="3"/>
    <s v="Fashion"/>
    <d v="2022-12-22T00:00:00"/>
    <s v="Mode Maven"/>
    <x v="7"/>
    <n v="16500"/>
    <n v="1500"/>
    <n v="0.38"/>
  </r>
  <r>
    <s v="Women 45-60"/>
    <s v="Market Expansion"/>
    <s v="30 Days"/>
    <x v="0"/>
    <n v="7.0000000000000007E-2"/>
    <n v="6347.64"/>
    <n v="1.55"/>
    <n v="16437"/>
    <n v="50207"/>
    <n v="5"/>
    <s v="Food"/>
    <d v="2022-06-16T00:00:00"/>
    <s v="Epicurean Edge"/>
    <x v="9"/>
    <n v="6982.4040000000005"/>
    <n v="634.76400000000103"/>
    <n v="0.39"/>
  </r>
  <r>
    <s v="Men 45-60"/>
    <s v="Product Launch"/>
    <s v="60 Days"/>
    <x v="1"/>
    <n v="0.02"/>
    <n v="15000"/>
    <n v="4.47"/>
    <n v="39120"/>
    <n v="117393"/>
    <n v="3"/>
    <s v="Health"/>
    <d v="2022-07-09T00:00:00"/>
    <s v="Vital Vigor"/>
    <x v="0"/>
    <n v="16500"/>
    <n v="1500"/>
    <n v="0.38"/>
  </r>
  <r>
    <s v="Men 45-60"/>
    <s v="Market Expansion"/>
    <s v="15 Days"/>
    <x v="1"/>
    <n v="0.06"/>
    <n v="2401.21"/>
    <n v="4.91"/>
    <n v="5871"/>
    <n v="18910"/>
    <n v="10"/>
    <s v="Health"/>
    <d v="2022-08-06T00:00:00"/>
    <s v="Vital Vigor"/>
    <x v="2"/>
    <n v="2641.3310000000001"/>
    <n v="240.12100000000001"/>
    <n v="0.41"/>
  </r>
  <r>
    <s v="Men 45-60"/>
    <s v="Increase Sales"/>
    <s v="45 Days"/>
    <x v="2"/>
    <n v="7.0000000000000007E-2"/>
    <n v="10386.67"/>
    <n v="0.931273243721224"/>
    <n v="16093"/>
    <n v="53385"/>
    <n v="1"/>
    <s v="Home"/>
    <d v="2022-05-20T00:00:00"/>
    <s v="Space Spruce"/>
    <x v="4"/>
    <n v="11425.337"/>
    <n v="1038.6669999999999"/>
    <n v="0.65"/>
  </r>
  <r>
    <s v="All Ages"/>
    <s v="Increase Sales"/>
    <s v="15 Days"/>
    <x v="0"/>
    <n v="0.15"/>
    <n v="1031.7"/>
    <n v="6.45"/>
    <n v="2920"/>
    <n v="10170"/>
    <n v="5"/>
    <s v="Technology"/>
    <d v="2022-12-04T00:00:00"/>
    <s v="Quantum Quirks"/>
    <x v="7"/>
    <n v="1134.8699999999999"/>
    <n v="103.17"/>
    <n v="0.35"/>
  </r>
  <r>
    <s v="Women 25-34"/>
    <s v="Increase Sales"/>
    <s v="60 Days"/>
    <x v="2"/>
    <n v="0.11"/>
    <n v="11583.37"/>
    <n v="1.0742710546573"/>
    <n v="18013"/>
    <n v="59634"/>
    <n v="1"/>
    <s v="Food"/>
    <d v="2022-09-20T00:00:00"/>
    <s v="Gastronomy Guild"/>
    <x v="8"/>
    <n v="12741.707"/>
    <n v="1158.337"/>
    <n v="0.64"/>
  </r>
  <r>
    <s v="Women 45-60"/>
    <s v="Product Launch"/>
    <s v="15 Days"/>
    <x v="3"/>
    <n v="0.12"/>
    <n v="2915.13"/>
    <n v="6.52"/>
    <n v="7156"/>
    <n v="22718"/>
    <n v="9"/>
    <s v="Fashion"/>
    <d v="2022-09-16T00:00:00"/>
    <s v="Mode Maven"/>
    <x v="8"/>
    <n v="3206.643"/>
    <n v="291.51299999999998"/>
    <n v="0.41"/>
  </r>
  <r>
    <s v="All Ages"/>
    <s v="Increase Sales"/>
    <s v="30 Days"/>
    <x v="2"/>
    <n v="0.08"/>
    <n v="5284.87"/>
    <n v="0.37715672634391201"/>
    <n v="7959"/>
    <n v="26898"/>
    <n v="1"/>
    <s v="Health"/>
    <d v="2022-06-19T00:00:00"/>
    <s v="Vigor Valley"/>
    <x v="9"/>
    <n v="5813.357"/>
    <n v="528.48699999999997"/>
    <n v="0.66"/>
  </r>
  <r>
    <s v="Women 18-24"/>
    <s v="Market Expansion"/>
    <s v="30 Days"/>
    <x v="1"/>
    <n v="0.05"/>
    <n v="7615.92"/>
    <n v="1.37"/>
    <n v="19858"/>
    <n v="60340"/>
    <n v="2"/>
    <s v="Technology"/>
    <d v="2022-07-14T00:00:00"/>
    <s v="Cyber Circuit"/>
    <x v="0"/>
    <n v="8377.5120000000006"/>
    <n v="761.59199999999998"/>
    <n v="0.38"/>
  </r>
  <r>
    <s v="Men 35-44"/>
    <s v="Increase Sales"/>
    <s v="15 Days"/>
    <x v="3"/>
    <n v="0.08"/>
    <n v="500"/>
    <n v="5.39"/>
    <n v="506"/>
    <n v="3019"/>
    <n v="9"/>
    <s v="Technology"/>
    <d v="2022-01-11T00:00:00"/>
    <s v="Giga Geeks"/>
    <x v="1"/>
    <n v="550"/>
    <n v="50"/>
    <n v="0.99"/>
  </r>
  <r>
    <s v="Women 25-34"/>
    <s v="Brand Awareness"/>
    <s v="60 Days"/>
    <x v="0"/>
    <n v="0.03"/>
    <n v="14643.9"/>
    <n v="1.58"/>
    <n v="37880"/>
    <n v="113723"/>
    <n v="10"/>
    <s v="Home"/>
    <d v="2022-07-25T00:00:00"/>
    <s v="Homely Haven"/>
    <x v="0"/>
    <n v="16108.29"/>
    <n v="1464.39"/>
    <n v="0.39"/>
  </r>
  <r>
    <s v="Men 25-34"/>
    <s v="Product Launch"/>
    <s v="30 Days"/>
    <x v="3"/>
    <n v="0.08"/>
    <n v="7013.72"/>
    <n v="2.96"/>
    <n v="18236"/>
    <n v="55535"/>
    <n v="5"/>
    <s v="Technology"/>
    <d v="2022-01-12T00:00:00"/>
    <s v="Silicon Saga"/>
    <x v="1"/>
    <n v="7715.0919999999996"/>
    <n v="701.37199999999996"/>
    <n v="0.38"/>
  </r>
  <r>
    <s v="Men 25-34"/>
    <s v="Increase Sales"/>
    <s v="30 Days"/>
    <x v="2"/>
    <n v="0.08"/>
    <n v="5284.22"/>
    <n v="0.89731126362390501"/>
    <n v="7958"/>
    <n v="26894"/>
    <n v="1"/>
    <s v="Food"/>
    <d v="2022-05-25T00:00:00"/>
    <s v="Nosh Nirvana"/>
    <x v="4"/>
    <n v="5812.6419999999998"/>
    <n v="528.42200000000003"/>
    <n v="0.66"/>
  </r>
  <r>
    <s v="Men 18-24"/>
    <s v="Increase Sales"/>
    <s v="30 Days"/>
    <x v="1"/>
    <n v="0.01"/>
    <n v="5283.37"/>
    <n v="4.5"/>
    <n v="13547"/>
    <n v="41647"/>
    <n v="10"/>
    <s v="Food"/>
    <d v="2022-09-13T00:00:00"/>
    <s v="Culinary Quest"/>
    <x v="8"/>
    <n v="5811.7070000000003"/>
    <n v="528.33699999999999"/>
    <n v="0.39"/>
  </r>
  <r>
    <s v="Women 25-34"/>
    <s v="Brand Awareness"/>
    <s v="45 Days"/>
    <x v="1"/>
    <n v="0.02"/>
    <n v="8009.47"/>
    <n v="7.89"/>
    <n v="20941"/>
    <n v="63548"/>
    <n v="1"/>
    <s v="Home"/>
    <d v="2022-12-27T00:00:00"/>
    <s v="Hearth Harmony"/>
    <x v="7"/>
    <n v="8810.4169999999995"/>
    <n v="800.94700000000103"/>
    <n v="0.38"/>
  </r>
  <r>
    <s v="Women 45-60"/>
    <s v="Brand Awareness"/>
    <s v="60 Days"/>
    <x v="3"/>
    <n v="7.0000000000000007E-2"/>
    <n v="12836.85"/>
    <n v="2.83"/>
    <n v="33968"/>
    <n v="102134"/>
    <n v="9"/>
    <s v="Home"/>
    <d v="2022-03-28T00:00:00"/>
    <s v="Dwell Delight"/>
    <x v="11"/>
    <n v="14120.535"/>
    <n v="1283.6849999999999"/>
    <n v="0.38"/>
  </r>
  <r>
    <s v="Men 18-24"/>
    <s v="Market Expansion"/>
    <s v="60 Days"/>
    <x v="1"/>
    <n v="0.02"/>
    <n v="15000"/>
    <n v="5.35"/>
    <n v="38906"/>
    <n v="116761"/>
    <n v="5"/>
    <s v="Technology"/>
    <d v="2022-02-15T00:00:00"/>
    <s v="Gadget Giants"/>
    <x v="6"/>
    <n v="16500"/>
    <n v="1500"/>
    <n v="0.39"/>
  </r>
  <r>
    <s v="Women 25-34"/>
    <s v="Brand Awareness"/>
    <s v="30 Days"/>
    <x v="3"/>
    <n v="7.0000000000000007E-2"/>
    <n v="5498.02"/>
    <n v="5.48"/>
    <n v="14127"/>
    <n v="43366"/>
    <n v="8"/>
    <s v="Fashion"/>
    <d v="2022-12-05T00:00:00"/>
    <s v="Silk &amp; Style"/>
    <x v="7"/>
    <n v="6047.8220000000001"/>
    <n v="549.80200000000002"/>
    <n v="0.39"/>
  </r>
  <r>
    <s v="Men 25-34"/>
    <s v="Brand Awareness"/>
    <s v="30 Days"/>
    <x v="0"/>
    <n v="0.06"/>
    <n v="6601.75"/>
    <n v="1.58"/>
    <n v="17113"/>
    <n v="52208"/>
    <n v="9"/>
    <s v="Health"/>
    <d v="2022-02-01T00:00:00"/>
    <s v="Vigor Valley"/>
    <x v="6"/>
    <n v="7261.9250000000002"/>
    <n v="660.17499999999995"/>
    <n v="0.39"/>
  </r>
  <r>
    <s v="Men 25-34"/>
    <s v="Brand Awareness"/>
    <s v="15 Days"/>
    <x v="2"/>
    <n v="0.14000000000000001"/>
    <n v="3202.32"/>
    <n v="0.22879649749772801"/>
    <n v="4639"/>
    <n v="16086"/>
    <n v="1"/>
    <s v="Health"/>
    <d v="2022-02-05T00:00:00"/>
    <s v="Heal Hub"/>
    <x v="6"/>
    <n v="3522.5520000000001"/>
    <n v="320.23200000000003"/>
    <n v="0.69"/>
  </r>
  <r>
    <s v="Women 35-44"/>
    <s v="Increase Sales"/>
    <s v="60 Days"/>
    <x v="2"/>
    <n v="0.02"/>
    <n v="11753.79"/>
    <n v="5.3624179101030102E-2"/>
    <n v="18281"/>
    <n v="60506"/>
    <n v="1"/>
    <s v="Health"/>
    <d v="2022-04-02T00:00:00"/>
    <s v="Fitness Front"/>
    <x v="10"/>
    <n v="12929.169"/>
    <n v="1175.3789999999999"/>
    <n v="0.64"/>
  </r>
  <r>
    <s v="Women 25-34"/>
    <s v="Market Expansion"/>
    <s v="45 Days"/>
    <x v="3"/>
    <n v="0.1"/>
    <n v="9017.4599999999991"/>
    <n v="2.9"/>
    <n v="23676"/>
    <n v="71649"/>
    <n v="5"/>
    <s v="Health"/>
    <d v="2022-11-06T00:00:00"/>
    <s v="Elixir Essence"/>
    <x v="3"/>
    <n v="9919.2060000000001"/>
    <n v="901.746000000001"/>
    <n v="0.38"/>
  </r>
  <r>
    <s v="Men 25-34"/>
    <s v="Increase Sales"/>
    <s v="60 Days"/>
    <x v="3"/>
    <n v="0.14000000000000001"/>
    <n v="15000"/>
    <n v="5.22"/>
    <n v="39681"/>
    <n v="119056"/>
    <n v="7"/>
    <s v="Health"/>
    <d v="2022-10-10T00:00:00"/>
    <s v="Aura Align"/>
    <x v="5"/>
    <n v="16500"/>
    <n v="1500"/>
    <n v="0.38"/>
  </r>
  <r>
    <s v="Men 25-34"/>
    <s v="Brand Awareness"/>
    <s v="15 Days"/>
    <x v="2"/>
    <n v="0.02"/>
    <n v="1127.8499999999999"/>
    <n v="0.71498905468040197"/>
    <n v="1816"/>
    <n v="6897"/>
    <n v="1"/>
    <s v="Home"/>
    <d v="2022-06-16T00:00:00"/>
    <s v="Living Luxe"/>
    <x v="9"/>
    <n v="1240.635"/>
    <n v="112.785"/>
    <n v="0.62"/>
  </r>
  <r>
    <s v="All Ages"/>
    <s v="Increase Sales"/>
    <s v="60 Days"/>
    <x v="3"/>
    <n v="0.04"/>
    <n v="12433.69"/>
    <n v="4.1100000000000003"/>
    <n v="32914"/>
    <n v="99013"/>
    <n v="3"/>
    <s v="Technology"/>
    <d v="2022-03-15T00:00:00"/>
    <s v="NexGen Nerds"/>
    <x v="11"/>
    <n v="13677.058999999999"/>
    <n v="1243.3689999999999"/>
    <n v="0.38"/>
  </r>
  <r>
    <s v="Men 35-44"/>
    <s v="Brand Awareness"/>
    <s v="45 Days"/>
    <x v="0"/>
    <n v="0.15"/>
    <n v="10149.39"/>
    <n v="3.3"/>
    <n v="26766"/>
    <n v="80802"/>
    <n v="2"/>
    <s v="Fashion"/>
    <d v="2022-12-20T00:00:00"/>
    <s v="Runway Rebels"/>
    <x v="7"/>
    <n v="11164.329"/>
    <n v="1014.939"/>
    <n v="0.38"/>
  </r>
  <r>
    <s v="Men 45-60"/>
    <s v="Market Expansion"/>
    <s v="45 Days"/>
    <x v="2"/>
    <n v="0.04"/>
    <n v="9523.52"/>
    <n v="0.50942970145978606"/>
    <n v="14709"/>
    <n v="48877"/>
    <n v="1"/>
    <s v="Health"/>
    <d v="2022-12-12T00:00:00"/>
    <s v="Fitness Front"/>
    <x v="7"/>
    <n v="10475.871999999999"/>
    <n v="952.35199999999998"/>
    <n v="0.65"/>
  </r>
  <r>
    <s v="Women 25-34"/>
    <s v="Brand Awareness"/>
    <s v="60 Days"/>
    <x v="0"/>
    <n v="0.09"/>
    <n v="11595.6"/>
    <n v="1.1499999999999999"/>
    <n v="30704"/>
    <n v="92467"/>
    <n v="3"/>
    <s v="Food"/>
    <d v="2022-08-27T00:00:00"/>
    <s v="Palate Paradise"/>
    <x v="2"/>
    <n v="12755.16"/>
    <n v="1159.56"/>
    <n v="0.38"/>
  </r>
  <r>
    <s v="Women 35-44"/>
    <s v="Market Expansion"/>
    <s v="45 Days"/>
    <x v="0"/>
    <n v="0.11"/>
    <n v="8157.7"/>
    <n v="4.6399999999999997"/>
    <n v="21348"/>
    <n v="64753"/>
    <n v="5"/>
    <s v="Health"/>
    <d v="2022-08-21T00:00:00"/>
    <s v="Fitness Front"/>
    <x v="2"/>
    <n v="8973.4699999999993"/>
    <n v="815.770000000001"/>
    <n v="0.38"/>
  </r>
  <r>
    <s v="Men 25-34"/>
    <s v="Increase Sales"/>
    <s v="45 Days"/>
    <x v="2"/>
    <n v="0.05"/>
    <n v="9174.11"/>
    <n v="0.46653035817896199"/>
    <n v="14155"/>
    <n v="47073"/>
    <n v="1"/>
    <s v="Food"/>
    <d v="2022-06-29T00:00:00"/>
    <s v="Savor Street"/>
    <x v="9"/>
    <n v="10091.521000000001"/>
    <n v="917.41099999999994"/>
    <n v="0.65"/>
  </r>
  <r>
    <s v="Men 25-34"/>
    <s v="Market Expansion"/>
    <s v="30 Days"/>
    <x v="1"/>
    <n v="0.02"/>
    <n v="7412.2"/>
    <n v="4.12"/>
    <n v="19300"/>
    <n v="58686"/>
    <n v="8"/>
    <s v="Technology"/>
    <d v="2022-05-31T00:00:00"/>
    <s v="Cyber Circuit"/>
    <x v="4"/>
    <n v="8153.42"/>
    <n v="741.22"/>
    <n v="0.38"/>
  </r>
  <r>
    <s v="Men 35-44"/>
    <s v="Product Launch"/>
    <s v="60 Days"/>
    <x v="0"/>
    <n v="0.11"/>
    <n v="13378.55"/>
    <n v="4.95"/>
    <n v="35296"/>
    <n v="106069"/>
    <n v="6"/>
    <s v="Technology"/>
    <d v="2022-06-18T00:00:00"/>
    <s v="Silicon Saga"/>
    <x v="9"/>
    <n v="14716.405000000001"/>
    <n v="1337.855"/>
    <n v="0.38"/>
  </r>
  <r>
    <s v="Women 25-34"/>
    <s v="Product Launch"/>
    <s v="15 Days"/>
    <x v="3"/>
    <n v="0.05"/>
    <n v="4068.82"/>
    <n v="1.83"/>
    <n v="10228"/>
    <n v="31814"/>
    <n v="9"/>
    <s v="Health"/>
    <d v="2022-04-15T00:00:00"/>
    <s v="Wellness Waves"/>
    <x v="10"/>
    <n v="4475.7020000000002"/>
    <n v="406.88200000000001"/>
    <n v="0.4"/>
  </r>
  <r>
    <s v="Men 45-60"/>
    <s v="Market Expansion"/>
    <s v="45 Days"/>
    <x v="1"/>
    <n v="0.12"/>
    <n v="9368.39"/>
    <n v="1.06"/>
    <n v="24612"/>
    <n v="74420"/>
    <n v="9"/>
    <s v="Fashion"/>
    <d v="2022-08-09T00:00:00"/>
    <s v="Style Sphere"/>
    <x v="2"/>
    <n v="10305.228999999999"/>
    <n v="936.83899999999903"/>
    <n v="0.38"/>
  </r>
  <r>
    <s v="Women 25-34"/>
    <s v="Market Expansion"/>
    <s v="15 Days"/>
    <x v="0"/>
    <n v="0.03"/>
    <n v="1218.6600000000001"/>
    <n v="7.84"/>
    <n v="3260"/>
    <n v="11175"/>
    <n v="9"/>
    <s v="Health"/>
    <d v="2022-03-06T00:00:00"/>
    <s v="Vigor Valley"/>
    <x v="11"/>
    <n v="1340.5260000000001"/>
    <n v="121.866"/>
    <n v="0.37"/>
  </r>
  <r>
    <s v="All Ages"/>
    <s v="Increase Sales"/>
    <s v="45 Days"/>
    <x v="1"/>
    <n v="0.03"/>
    <n v="9684.14"/>
    <n v="6.71"/>
    <n v="25494"/>
    <n v="77033"/>
    <n v="6"/>
    <s v="Home"/>
    <d v="2022-09-01T00:00:00"/>
    <s v="Cozy Corners"/>
    <x v="8"/>
    <n v="10652.554"/>
    <n v="968.41399999999999"/>
    <n v="0.38"/>
  </r>
  <r>
    <s v="Men 45-60"/>
    <s v="Product Launch"/>
    <s v="60 Days"/>
    <x v="2"/>
    <n v="0.04"/>
    <n v="15000"/>
    <n v="3.39619800973191E-2"/>
    <n v="23060"/>
    <n v="76070"/>
    <n v="1"/>
    <s v="Health"/>
    <d v="2022-07-22T00:00:00"/>
    <s v="Well Wish"/>
    <x v="0"/>
    <n v="16500"/>
    <n v="1500"/>
    <n v="0.65"/>
  </r>
  <r>
    <s v="Women 25-34"/>
    <s v="Market Expansion"/>
    <s v="30 Days"/>
    <x v="1"/>
    <n v="0.12"/>
    <n v="6816.94"/>
    <n v="0.98"/>
    <n v="17700"/>
    <n v="53947"/>
    <n v="4"/>
    <s v="Home"/>
    <d v="2022-02-10T00:00:00"/>
    <s v="Space Spruce"/>
    <x v="6"/>
    <n v="7498.634"/>
    <n v="681.69399999999996"/>
    <n v="0.39"/>
  </r>
  <r>
    <s v="Men 25-34"/>
    <s v="Increase Sales"/>
    <s v="60 Days"/>
    <x v="0"/>
    <n v="0.13"/>
    <n v="12410.15"/>
    <n v="7.39"/>
    <n v="32855"/>
    <n v="98838"/>
    <n v="6"/>
    <s v="Technology"/>
    <d v="2022-08-27T00:00:00"/>
    <s v="Silicon Saga"/>
    <x v="2"/>
    <n v="13651.165000000001"/>
    <n v="1241.0150000000001"/>
    <n v="0.38"/>
  </r>
  <r>
    <s v="Women 35-44"/>
    <s v="Increase Sales"/>
    <s v="60 Days"/>
    <x v="1"/>
    <n v="0.13"/>
    <n v="15000"/>
    <n v="4.13"/>
    <n v="38641"/>
    <n v="115975"/>
    <n v="7"/>
    <s v="Health"/>
    <d v="2022-08-05T00:00:00"/>
    <s v="Vital Vigor"/>
    <x v="2"/>
    <n v="16500"/>
    <n v="1500"/>
    <n v="0.39"/>
  </r>
  <r>
    <s v="Men 35-44"/>
    <s v="Product Launch"/>
    <s v="15 Days"/>
    <x v="0"/>
    <n v="0.03"/>
    <n v="500"/>
    <n v="2.56"/>
    <n v="1475"/>
    <n v="5890"/>
    <n v="4"/>
    <s v="Fashion"/>
    <d v="2022-10-03T00:00:00"/>
    <s v="Style Sphere"/>
    <x v="5"/>
    <n v="550"/>
    <n v="50"/>
    <n v="0.34"/>
  </r>
  <r>
    <s v="Women 18-24"/>
    <s v="Market Expansion"/>
    <s v="30 Days"/>
    <x v="2"/>
    <n v="0.09"/>
    <n v="4985.6400000000003"/>
    <n v="1.1958191939529701"/>
    <n v="7476"/>
    <n v="25327"/>
    <n v="1"/>
    <s v="Food"/>
    <d v="2022-06-21T00:00:00"/>
    <s v="Bistro Bliss"/>
    <x v="9"/>
    <n v="5484.2039999999997"/>
    <n v="498.56400000000002"/>
    <n v="0.67"/>
  </r>
  <r>
    <s v="Men 25-34"/>
    <s v="Brand Awareness"/>
    <s v="60 Days"/>
    <x v="2"/>
    <n v="0.08"/>
    <n v="13036.5"/>
    <n v="0.41469365171463302"/>
    <n v="20243"/>
    <n v="66896"/>
    <n v="1"/>
    <s v="Fashion"/>
    <d v="2022-04-28T00:00:00"/>
    <s v="Vogue Visions"/>
    <x v="10"/>
    <n v="14340.15"/>
    <n v="1303.6500000000001"/>
    <n v="0.64"/>
  </r>
  <r>
    <s v="Men 35-44"/>
    <s v="Product Launch"/>
    <s v="30 Days"/>
    <x v="1"/>
    <n v="0.12"/>
    <n v="5300.77"/>
    <n v="6.59"/>
    <n v="13597"/>
    <n v="41794"/>
    <n v="4"/>
    <s v="Fashion"/>
    <d v="2022-07-31T00:00:00"/>
    <s v="Runway Rebels"/>
    <x v="0"/>
    <n v="5830.8469999999998"/>
    <n v="530.077"/>
    <n v="0.39"/>
  </r>
  <r>
    <s v="Women 35-44"/>
    <s v="Brand Awareness"/>
    <s v="60 Days"/>
    <x v="3"/>
    <n v="0.1"/>
    <n v="11789.26"/>
    <n v="3.88"/>
    <n v="31223"/>
    <n v="94002"/>
    <n v="8"/>
    <s v="Health"/>
    <d v="2022-08-30T00:00:00"/>
    <s v="Balance Beam"/>
    <x v="2"/>
    <n v="12968.186"/>
    <n v="1178.9259999999999"/>
    <n v="0.38"/>
  </r>
  <r>
    <s v="Men 25-34"/>
    <s v="Increase Sales"/>
    <s v="45 Days"/>
    <x v="0"/>
    <n v="0.14000000000000001"/>
    <n v="7913.72"/>
    <n v="6.06"/>
    <n v="20676"/>
    <n v="62763"/>
    <n v="8"/>
    <s v="Food"/>
    <d v="2022-05-09T00:00:00"/>
    <s v="Gourmet Grove"/>
    <x v="4"/>
    <n v="8705.0920000000006"/>
    <n v="791.37199999999996"/>
    <n v="0.38"/>
  </r>
  <r>
    <s v="Men 35-44"/>
    <s v="Product Launch"/>
    <s v="45 Days"/>
    <x v="0"/>
    <n v="0.1"/>
    <n v="10884.18"/>
    <n v="2.4500000000000002"/>
    <n v="28759"/>
    <n v="86705"/>
    <n v="2"/>
    <s v="Food"/>
    <d v="2022-10-07T00:00:00"/>
    <s v="Palate Paradise"/>
    <x v="5"/>
    <n v="11972.598"/>
    <n v="1088.4179999999999"/>
    <n v="0.38"/>
  </r>
  <r>
    <s v="Men 35-44"/>
    <s v="Product Launch"/>
    <s v="30 Days"/>
    <x v="1"/>
    <n v="0.04"/>
    <n v="4981.91"/>
    <n v="4.32"/>
    <n v="12720"/>
    <n v="39198"/>
    <n v="10"/>
    <s v="Technology"/>
    <d v="2022-02-27T00:00:00"/>
    <s v="Giga Geeks"/>
    <x v="6"/>
    <n v="5480.1009999999997"/>
    <n v="498.19099999999997"/>
    <n v="0.39"/>
  </r>
  <r>
    <s v="Women 45-60"/>
    <s v="Product Launch"/>
    <s v="45 Days"/>
    <x v="0"/>
    <n v="0.06"/>
    <n v="11222.62"/>
    <n v="2.31"/>
    <n v="29690"/>
    <n v="89462"/>
    <n v="6"/>
    <s v="Technology"/>
    <d v="2022-11-03T00:00:00"/>
    <s v="Silicon Saga"/>
    <x v="3"/>
    <n v="12344.882"/>
    <n v="1122.2619999999999"/>
    <n v="0.38"/>
  </r>
  <r>
    <s v="All Ages"/>
    <s v="Increase Sales"/>
    <s v="30 Days"/>
    <x v="0"/>
    <n v="0.1"/>
    <n v="4578.51"/>
    <n v="1.97"/>
    <n v="11625"/>
    <n v="35953"/>
    <n v="5"/>
    <s v="Food"/>
    <d v="2022-02-08T00:00:00"/>
    <s v="Gourmet Grove"/>
    <x v="6"/>
    <n v="5036.3609999999999"/>
    <n v="457.851"/>
    <n v="0.39"/>
  </r>
  <r>
    <s v="Women 25-34"/>
    <s v="Increase Sales"/>
    <s v="15 Days"/>
    <x v="2"/>
    <n v="0.05"/>
    <n v="500"/>
    <n v="1.11359545266472"/>
    <n v="858"/>
    <n v="3774"/>
    <n v="1"/>
    <s v="Food"/>
    <d v="2022-07-13T00:00:00"/>
    <s v="Gastronomy Guild"/>
    <x v="0"/>
    <n v="550"/>
    <n v="50"/>
    <n v="0.57999999999999996"/>
  </r>
  <r>
    <s v="Men 35-44"/>
    <s v="Increase Sales"/>
    <s v="30 Days"/>
    <x v="1"/>
    <n v="0.08"/>
    <n v="4364.07"/>
    <n v="3.68"/>
    <n v="11032"/>
    <n v="34198"/>
    <n v="5"/>
    <s v="Health"/>
    <d v="2022-10-03T00:00:00"/>
    <s v="Heal Hub"/>
    <x v="5"/>
    <n v="4800.4769999999999"/>
    <n v="436.40699999999998"/>
    <n v="0.4"/>
  </r>
  <r>
    <s v="All Ages"/>
    <s v="Market Expansion"/>
    <s v="15 Days"/>
    <x v="0"/>
    <n v="0.03"/>
    <n v="500"/>
    <n v="1.63"/>
    <n v="2020"/>
    <n v="7502"/>
    <n v="1"/>
    <s v="Health"/>
    <d v="2022-09-06T00:00:00"/>
    <s v="Wellness Waves"/>
    <x v="8"/>
    <n v="550"/>
    <n v="50"/>
    <n v="0.25"/>
  </r>
  <r>
    <s v="Men 35-44"/>
    <s v="Brand Awareness"/>
    <s v="60 Days"/>
    <x v="3"/>
    <n v="0.14000000000000001"/>
    <n v="15000"/>
    <n v="2.0299999999999998"/>
    <n v="38632"/>
    <n v="115950"/>
    <n v="2"/>
    <s v="Home"/>
    <d v="2022-03-12T00:00:00"/>
    <s v="Domestic Dream"/>
    <x v="11"/>
    <n v="16500"/>
    <n v="1500"/>
    <n v="0.39"/>
  </r>
  <r>
    <s v="Women 35-44"/>
    <s v="Market Expansion"/>
    <s v="60 Days"/>
    <x v="0"/>
    <n v="0.03"/>
    <n v="12202.51"/>
    <n v="5.17"/>
    <n v="32308"/>
    <n v="97216"/>
    <n v="9"/>
    <s v="Food"/>
    <d v="2022-05-12T00:00:00"/>
    <s v="Dine Divine"/>
    <x v="4"/>
    <n v="13422.761"/>
    <n v="1220.251"/>
    <n v="0.38"/>
  </r>
  <r>
    <s v="Men 45-60"/>
    <s v="Brand Awareness"/>
    <s v="45 Days"/>
    <x v="0"/>
    <n v="0.14000000000000001"/>
    <n v="8967.58"/>
    <n v="3.49"/>
    <n v="23539"/>
    <n v="71243"/>
    <n v="10"/>
    <s v="Technology"/>
    <d v="2022-05-20T00:00:00"/>
    <s v="Giga Geeks"/>
    <x v="4"/>
    <n v="9864.3379999999997"/>
    <n v="896.75800000000095"/>
    <n v="0.38"/>
  </r>
  <r>
    <s v="Men 35-44"/>
    <s v="Brand Awareness"/>
    <s v="45 Days"/>
    <x v="2"/>
    <n v="0.11"/>
    <n v="8495.4500000000007"/>
    <n v="0.87407411934679202"/>
    <n v="13082"/>
    <n v="43580"/>
    <n v="1"/>
    <s v="Food"/>
    <d v="2022-01-16T00:00:00"/>
    <s v="Culinary Quest"/>
    <x v="1"/>
    <n v="9344.9950000000008"/>
    <n v="849.54499999999996"/>
    <n v="0.65"/>
  </r>
  <r>
    <s v="Men 25-34"/>
    <s v="Product Launch"/>
    <s v="45 Days"/>
    <x v="0"/>
    <n v="0.1"/>
    <n v="10896.95"/>
    <n v="4.74"/>
    <n v="28793"/>
    <n v="86805"/>
    <n v="6"/>
    <s v="Health"/>
    <d v="2022-10-22T00:00:00"/>
    <s v="Balance Beam"/>
    <x v="5"/>
    <n v="11986.645"/>
    <n v="1089.6949999999999"/>
    <n v="0.38"/>
  </r>
  <r>
    <s v="Women 18-24"/>
    <s v="Product Launch"/>
    <s v="60 Days"/>
    <x v="1"/>
    <n v="7.0000000000000007E-2"/>
    <n v="13864.82"/>
    <n v="4.49"/>
    <n v="36385"/>
    <n v="109293"/>
    <n v="8"/>
    <s v="Food"/>
    <d v="2022-03-23T00:00:00"/>
    <s v="Gastronomy Guild"/>
    <x v="11"/>
    <n v="15251.302"/>
    <n v="1386.482"/>
    <n v="0.38"/>
  </r>
  <r>
    <s v="Men 25-34"/>
    <s v="Brand Awareness"/>
    <s v="30 Days"/>
    <x v="2"/>
    <n v="0.06"/>
    <n v="4859.6099999999997"/>
    <n v="0.64349014921236203"/>
    <n v="7277"/>
    <n v="24677"/>
    <n v="1"/>
    <s v="Fashion"/>
    <d v="2022-04-03T00:00:00"/>
    <s v="Mode Maven"/>
    <x v="10"/>
    <n v="5345.5709999999999"/>
    <n v="485.96100000000001"/>
    <n v="0.67"/>
  </r>
  <r>
    <s v="All Ages"/>
    <s v="Increase Sales"/>
    <s v="30 Days"/>
    <x v="3"/>
    <n v="0.02"/>
    <n v="6993.96"/>
    <n v="5.08"/>
    <n v="18188"/>
    <n v="55392"/>
    <n v="8"/>
    <s v="Technology"/>
    <d v="2022-04-16T00:00:00"/>
    <s v="Cyber Circuit"/>
    <x v="10"/>
    <n v="7693.3559999999998"/>
    <n v="699.39599999999996"/>
    <n v="0.38"/>
  </r>
  <r>
    <s v="Men 18-24"/>
    <s v="Product Launch"/>
    <s v="15 Days"/>
    <x v="2"/>
    <n v="0.03"/>
    <n v="3466.21"/>
    <n v="1.38171634816987"/>
    <n v="5046"/>
    <n v="17414"/>
    <n v="1"/>
    <s v="Food"/>
    <d v="2022-10-15T00:00:00"/>
    <s v="Dine Divine"/>
    <x v="5"/>
    <n v="3812.8310000000001"/>
    <n v="346.62099999999998"/>
    <n v="0.69"/>
  </r>
  <r>
    <s v="Women 25-34"/>
    <s v="Market Expansion"/>
    <s v="45 Days"/>
    <x v="3"/>
    <n v="7.0000000000000007E-2"/>
    <n v="9571.41"/>
    <n v="0.19"/>
    <n v="25179"/>
    <n v="76101"/>
    <n v="7"/>
    <s v="Fashion"/>
    <d v="2022-01-20T00:00:00"/>
    <s v="Glam Garments"/>
    <x v="1"/>
    <n v="10528.550999999999"/>
    <n v="957.14100000000099"/>
    <n v="0.38"/>
  </r>
  <r>
    <s v="Men 45-60"/>
    <s v="Increase Sales"/>
    <s v="15 Days"/>
    <x v="3"/>
    <n v="0.09"/>
    <n v="500"/>
    <n v="6.48"/>
    <n v="1271"/>
    <n v="5286"/>
    <n v="5"/>
    <s v="Home"/>
    <d v="2022-03-05T00:00:00"/>
    <s v="Hearth Harmony"/>
    <x v="11"/>
    <n v="550"/>
    <n v="50"/>
    <n v="0.39"/>
  </r>
  <r>
    <s v="Men 25-34"/>
    <s v="Product Launch"/>
    <s v="15 Days"/>
    <x v="0"/>
    <n v="0.05"/>
    <n v="2345.91"/>
    <n v="4.2"/>
    <n v="5736"/>
    <n v="18509"/>
    <n v="6"/>
    <s v="Health"/>
    <d v="2022-07-19T00:00:00"/>
    <s v="Heal Hub"/>
    <x v="0"/>
    <n v="2580.5010000000002"/>
    <n v="234.59100000000001"/>
    <n v="0.41"/>
  </r>
  <r>
    <s v="All Ages"/>
    <s v="Product Launch"/>
    <s v="15 Days"/>
    <x v="3"/>
    <n v="0.12"/>
    <n v="500"/>
    <n v="5.51"/>
    <n v="1571"/>
    <n v="6174"/>
    <n v="8"/>
    <s v="Health"/>
    <d v="2022-04-13T00:00:00"/>
    <s v="Wellness Waves"/>
    <x v="10"/>
    <n v="550"/>
    <n v="50"/>
    <n v="0.32"/>
  </r>
  <r>
    <s v="Women 35-44"/>
    <s v="Product Launch"/>
    <s v="15 Days"/>
    <x v="2"/>
    <n v="0.1"/>
    <n v="2975.42"/>
    <n v="2.3237144277113E-2"/>
    <n v="4295"/>
    <n v="14967"/>
    <n v="1"/>
    <s v="Home"/>
    <d v="2022-10-01T00:00:00"/>
    <s v="Living Luxe"/>
    <x v="5"/>
    <n v="3272.962"/>
    <n v="297.54199999999997"/>
    <n v="0.69"/>
  </r>
  <r>
    <s v="Men 45-60"/>
    <s v="Product Launch"/>
    <s v="45 Days"/>
    <x v="1"/>
    <n v="0.09"/>
    <n v="9088.91"/>
    <n v="6.4"/>
    <n v="23862"/>
    <n v="72201"/>
    <n v="7"/>
    <s v="Home"/>
    <d v="2022-09-18T00:00:00"/>
    <s v="Domestic Dream"/>
    <x v="8"/>
    <n v="9997.8009999999995"/>
    <n v="908.89100000000099"/>
    <n v="0.38"/>
  </r>
  <r>
    <s v="All Ages"/>
    <s v="Brand Awareness"/>
    <s v="45 Days"/>
    <x v="2"/>
    <n v="0.1"/>
    <n v="10325.26"/>
    <n v="0.668514766126176"/>
    <n v="15995"/>
    <n v="53065"/>
    <n v="1"/>
    <s v="Technology"/>
    <d v="2022-07-07T00:00:00"/>
    <s v="Innovate Infinity"/>
    <x v="0"/>
    <n v="11357.786"/>
    <n v="1032.5260000000001"/>
    <n v="0.65"/>
  </r>
  <r>
    <s v="Women 35-44"/>
    <s v="Increase Sales"/>
    <s v="45 Days"/>
    <x v="0"/>
    <n v="7.0000000000000007E-2"/>
    <n v="7968.26"/>
    <n v="3.04"/>
    <n v="20825"/>
    <n v="63204"/>
    <n v="7"/>
    <s v="Home"/>
    <d v="2022-09-24T00:00:00"/>
    <s v="Living Luxe"/>
    <x v="8"/>
    <n v="8765.0859999999993"/>
    <n v="796.82600000000002"/>
    <n v="0.38"/>
  </r>
  <r>
    <s v="All Ages"/>
    <s v="Product Launch"/>
    <s v="60 Days"/>
    <x v="3"/>
    <n v="0.13"/>
    <n v="12063.94"/>
    <n v="0.56000000000000005"/>
    <n v="31932"/>
    <n v="96105"/>
    <n v="4"/>
    <s v="Technology"/>
    <d v="2022-09-02T00:00:00"/>
    <s v="Quantum Quirks"/>
    <x v="8"/>
    <n v="13270.334000000001"/>
    <n v="1206.394"/>
    <n v="0.38"/>
  </r>
  <r>
    <s v="Women 18-24"/>
    <s v="Brand Awareness"/>
    <s v="45 Days"/>
    <x v="3"/>
    <n v="0.09"/>
    <n v="10856.5"/>
    <n v="0.13"/>
    <n v="28686"/>
    <n v="86487"/>
    <n v="10"/>
    <s v="Food"/>
    <d v="2022-01-27T00:00:00"/>
    <s v="Gourmet Grove"/>
    <x v="1"/>
    <n v="11942.15"/>
    <n v="1085.6500000000001"/>
    <n v="0.38"/>
  </r>
  <r>
    <s v="All Ages"/>
    <s v="Increase Sales"/>
    <s v="60 Days"/>
    <x v="0"/>
    <n v="0.1"/>
    <n v="14090.67"/>
    <n v="5.85"/>
    <n v="36862"/>
    <n v="110705"/>
    <n v="9"/>
    <s v="Home"/>
    <d v="2022-08-06T00:00:00"/>
    <s v="Living Luxe"/>
    <x v="2"/>
    <n v="15499.736999999999"/>
    <n v="1409.067"/>
    <n v="0.38"/>
  </r>
  <r>
    <s v="Women 35-44"/>
    <s v="Brand Awareness"/>
    <s v="45 Days"/>
    <x v="1"/>
    <n v="0.06"/>
    <n v="9964.2099999999991"/>
    <n v="0.2"/>
    <n v="26252"/>
    <n v="79279"/>
    <n v="10"/>
    <s v="Home"/>
    <d v="2022-10-07T00:00:00"/>
    <s v="Living Luxe"/>
    <x v="5"/>
    <n v="10960.630999999999"/>
    <n v="996.42100000000005"/>
    <n v="0.38"/>
  </r>
  <r>
    <s v="Women 35-44"/>
    <s v="Brand Awareness"/>
    <s v="60 Days"/>
    <x v="3"/>
    <n v="7.0000000000000007E-2"/>
    <n v="11777.85"/>
    <n v="5.53"/>
    <n v="31192"/>
    <n v="93911"/>
    <n v="2"/>
    <s v="Health"/>
    <d v="2022-09-21T00:00:00"/>
    <s v="Balance Beam"/>
    <x v="8"/>
    <n v="12955.635"/>
    <n v="1177.7850000000001"/>
    <n v="0.38"/>
  </r>
  <r>
    <s v="Women 18-24"/>
    <s v="Increase Sales"/>
    <s v="15 Days"/>
    <x v="0"/>
    <n v="0.13"/>
    <n v="1278.78"/>
    <n v="4.3099999999999996"/>
    <n v="3369"/>
    <n v="11499"/>
    <n v="10"/>
    <s v="Technology"/>
    <d v="2022-07-20T00:00:00"/>
    <s v="Giga Geeks"/>
    <x v="0"/>
    <n v="1406.6579999999999"/>
    <n v="127.878"/>
    <n v="0.38"/>
  </r>
  <r>
    <s v="All Ages"/>
    <s v="Brand Awareness"/>
    <s v="45 Days"/>
    <x v="1"/>
    <n v="0.15"/>
    <n v="9150.34"/>
    <n v="3.8"/>
    <n v="24035"/>
    <n v="72712"/>
    <n v="1"/>
    <s v="Food"/>
    <d v="2022-06-23T00:00:00"/>
    <s v="Savor Street"/>
    <x v="9"/>
    <n v="10065.374"/>
    <n v="915.03400000000101"/>
    <n v="0.38"/>
  </r>
  <r>
    <s v="Women 45-60"/>
    <s v="Brand Awareness"/>
    <s v="15 Days"/>
    <x v="2"/>
    <n v="0.13"/>
    <n v="1871.49"/>
    <n v="5.1836706464329099E-2"/>
    <n v="2699"/>
    <n v="9772"/>
    <n v="1"/>
    <s v="Food"/>
    <d v="2022-03-09T00:00:00"/>
    <s v="Savor Street"/>
    <x v="11"/>
    <n v="2058.6390000000001"/>
    <n v="187.149"/>
    <n v="0.69"/>
  </r>
  <r>
    <s v="Men 45-60"/>
    <s v="Brand Awareness"/>
    <s v="15 Days"/>
    <x v="0"/>
    <n v="7.0000000000000007E-2"/>
    <n v="3626.83"/>
    <n v="7.65"/>
    <n v="9028"/>
    <n v="28261"/>
    <n v="9"/>
    <s v="Food"/>
    <d v="2022-09-24T00:00:00"/>
    <s v="Epicurean Edge"/>
    <x v="8"/>
    <n v="3989.5129999999999"/>
    <n v="362.68299999999999"/>
    <n v="0.4"/>
  </r>
  <r>
    <s v="All Ages"/>
    <s v="Market Expansion"/>
    <s v="15 Days"/>
    <x v="0"/>
    <n v="0.02"/>
    <n v="1898.41"/>
    <n v="6.64"/>
    <n v="4663"/>
    <n v="15332"/>
    <n v="3"/>
    <s v="Home"/>
    <d v="2022-12-28T00:00:00"/>
    <s v="Furnish Fine"/>
    <x v="7"/>
    <n v="2088.2510000000002"/>
    <n v="189.84100000000001"/>
    <n v="0.41"/>
  </r>
  <r>
    <s v="Men 35-44"/>
    <s v="Brand Awareness"/>
    <s v="30 Days"/>
    <x v="2"/>
    <n v="0.12"/>
    <n v="5490.01"/>
    <n v="0.75252598005112303"/>
    <n v="8284"/>
    <n v="27957"/>
    <n v="1"/>
    <s v="Home"/>
    <d v="2022-12-31T00:00:00"/>
    <s v="Nest Neat"/>
    <x v="7"/>
    <n v="6039.0110000000004"/>
    <n v="549.00099999999998"/>
    <n v="0.66"/>
  </r>
  <r>
    <s v="Women 45-60"/>
    <s v="Brand Awareness"/>
    <s v="45 Days"/>
    <x v="2"/>
    <n v="0.06"/>
    <n v="10196.030000000001"/>
    <n v="0.52015453727999195"/>
    <n v="15791"/>
    <n v="52399"/>
    <n v="1"/>
    <s v="Health"/>
    <d v="2022-07-16T00:00:00"/>
    <s v="Heal Hub"/>
    <x v="0"/>
    <n v="11215.633"/>
    <n v="1019.603"/>
    <n v="0.65"/>
  </r>
  <r>
    <s v="Women 25-34"/>
    <s v="Increase Sales"/>
    <s v="45 Days"/>
    <x v="2"/>
    <n v="0.14000000000000001"/>
    <n v="9453.73"/>
    <n v="0.17695979103339901"/>
    <n v="14593"/>
    <n v="48500"/>
    <n v="1"/>
    <s v="Home"/>
    <d v="2022-02-05T00:00:00"/>
    <s v="Living Luxe"/>
    <x v="6"/>
    <n v="10399.102999999999"/>
    <n v="945.37300000000096"/>
    <n v="0.65"/>
  </r>
  <r>
    <s v="Men 45-60"/>
    <s v="Product Launch"/>
    <s v="45 Days"/>
    <x v="1"/>
    <n v="0.06"/>
    <n v="8110.39"/>
    <n v="0.45"/>
    <n v="21216"/>
    <n v="64363"/>
    <n v="3"/>
    <s v="Home"/>
    <d v="2022-10-10T00:00:00"/>
    <s v="Hearth Harmony"/>
    <x v="5"/>
    <n v="8921.4290000000001"/>
    <n v="811.03900000000101"/>
    <n v="0.38"/>
  </r>
  <r>
    <s v="All Ages"/>
    <s v="Product Launch"/>
    <s v="45 Days"/>
    <x v="2"/>
    <n v="0.06"/>
    <n v="9657.18"/>
    <n v="0.63634025866555799"/>
    <n v="14928"/>
    <n v="49589"/>
    <n v="1"/>
    <s v="Home"/>
    <d v="2022-12-02T00:00:00"/>
    <s v="Nest Neat"/>
    <x v="7"/>
    <n v="10622.897999999999"/>
    <n v="965.71799999999996"/>
    <n v="0.65"/>
  </r>
  <r>
    <s v="All Ages"/>
    <s v="Brand Awareness"/>
    <s v="30 Days"/>
    <x v="3"/>
    <n v="0.08"/>
    <n v="6006.08"/>
    <n v="1.07"/>
    <n v="15518"/>
    <n v="47484"/>
    <n v="9"/>
    <s v="Technology"/>
    <d v="2022-10-21T00:00:00"/>
    <s v="NexGen Nerds"/>
    <x v="5"/>
    <n v="6606.6880000000001"/>
    <n v="600.60799999999995"/>
    <n v="0.39"/>
  </r>
  <r>
    <s v="All Ages"/>
    <s v="Product Launch"/>
    <s v="30 Days"/>
    <x v="0"/>
    <n v="0.01"/>
    <n v="7391.3"/>
    <n v="0.4"/>
    <n v="19244"/>
    <n v="58522"/>
    <n v="6"/>
    <s v="Fashion"/>
    <d v="2022-10-31T00:00:00"/>
    <s v="Glam Garments"/>
    <x v="5"/>
    <n v="8130.43"/>
    <n v="739.13000000000102"/>
    <n v="0.38"/>
  </r>
  <r>
    <s v="Men 18-24"/>
    <s v="Brand Awareness"/>
    <s v="30 Days"/>
    <x v="3"/>
    <n v="0.14000000000000001"/>
    <n v="6637.38"/>
    <n v="1.64"/>
    <n v="17207"/>
    <n v="52487"/>
    <n v="7"/>
    <s v="Health"/>
    <d v="2022-02-26T00:00:00"/>
    <s v="Pulse Point"/>
    <x v="6"/>
    <n v="7301.1180000000004"/>
    <n v="663.73800000000006"/>
    <n v="0.39"/>
  </r>
  <r>
    <s v="Women 18-24"/>
    <s v="Product Launch"/>
    <s v="30 Days"/>
    <x v="2"/>
    <n v="0.03"/>
    <n v="4547.12"/>
    <n v="1.4156783282671901"/>
    <n v="6777"/>
    <n v="23048"/>
    <n v="1"/>
    <s v="Home"/>
    <d v="2022-08-27T00:00:00"/>
    <s v="Space Spruce"/>
    <x v="2"/>
    <n v="5001.8320000000003"/>
    <n v="454.71199999999999"/>
    <n v="0.67"/>
  </r>
  <r>
    <s v="Men 35-44"/>
    <s v="Increase Sales"/>
    <s v="15 Days"/>
    <x v="3"/>
    <n v="0.13"/>
    <n v="2889.95"/>
    <n v="6.52"/>
    <n v="7090"/>
    <n v="22522"/>
    <n v="7"/>
    <s v="Technology"/>
    <d v="2022-07-09T00:00:00"/>
    <s v="Quantum Quirks"/>
    <x v="0"/>
    <n v="3178.9450000000002"/>
    <n v="288.995"/>
    <n v="0.41"/>
  </r>
  <r>
    <s v="Men 25-34"/>
    <s v="Brand Awareness"/>
    <s v="60 Days"/>
    <x v="0"/>
    <n v="0.05"/>
    <n v="15000"/>
    <n v="2.37"/>
    <n v="38666"/>
    <n v="116048"/>
    <n v="1"/>
    <s v="Home"/>
    <d v="2022-02-22T00:00:00"/>
    <s v="Living Luxe"/>
    <x v="6"/>
    <n v="16500"/>
    <n v="1500"/>
    <n v="0.39"/>
  </r>
  <r>
    <s v="Men 25-34"/>
    <s v="Brand Awareness"/>
    <s v="45 Days"/>
    <x v="1"/>
    <n v="0.1"/>
    <n v="9858.69"/>
    <n v="1.5"/>
    <n v="25977"/>
    <n v="78466"/>
    <n v="4"/>
    <s v="Technology"/>
    <d v="2022-08-01T00:00:00"/>
    <s v="Cyber Circuit"/>
    <x v="2"/>
    <n v="10844.558999999999"/>
    <n v="985.86900000000003"/>
    <n v="0.38"/>
  </r>
  <r>
    <s v="Men 25-34"/>
    <s v="Market Expansion"/>
    <s v="60 Days"/>
    <x v="1"/>
    <n v="0.15"/>
    <n v="11502.98"/>
    <n v="0.48"/>
    <n v="30448"/>
    <n v="91708"/>
    <n v="1"/>
    <s v="Food"/>
    <d v="2022-05-23T00:00:00"/>
    <s v="Feast Flavors"/>
    <x v="4"/>
    <n v="12653.278"/>
    <n v="1150.298"/>
    <n v="0.38"/>
  </r>
  <r>
    <s v="Women 35-44"/>
    <s v="Product Launch"/>
    <s v="15 Days"/>
    <x v="3"/>
    <n v="0.06"/>
    <n v="4021.21"/>
    <n v="2.99"/>
    <n v="10094"/>
    <n v="31419"/>
    <n v="8"/>
    <s v="Home"/>
    <d v="2022-03-20T00:00:00"/>
    <s v="Nest Neat"/>
    <x v="11"/>
    <n v="4423.3310000000001"/>
    <n v="402.12099999999998"/>
    <n v="0.4"/>
  </r>
  <r>
    <s v="Women 45-60"/>
    <s v="Market Expansion"/>
    <s v="45 Days"/>
    <x v="2"/>
    <n v="0.06"/>
    <n v="8232.4699999999993"/>
    <n v="0.13227297511587399"/>
    <n v="12656"/>
    <n v="42192"/>
    <n v="1"/>
    <s v="Fashion"/>
    <d v="2022-10-29T00:00:00"/>
    <s v="Vogue Visions"/>
    <x v="5"/>
    <n v="9055.7170000000006"/>
    <n v="823.24700000000098"/>
    <n v="0.65"/>
  </r>
  <r>
    <s v="Women 35-44"/>
    <s v="Brand Awareness"/>
    <s v="60 Days"/>
    <x v="0"/>
    <n v="7.0000000000000007E-2"/>
    <n v="12417.71"/>
    <n v="5.5"/>
    <n v="32874"/>
    <n v="98893"/>
    <n v="8"/>
    <s v="Health"/>
    <d v="2022-11-28T00:00:00"/>
    <s v="Pulse Point"/>
    <x v="3"/>
    <n v="13659.481"/>
    <n v="1241.771"/>
    <n v="0.38"/>
  </r>
  <r>
    <s v="Men 25-34"/>
    <s v="Market Expansion"/>
    <s v="30 Days"/>
    <x v="3"/>
    <n v="0.11"/>
    <n v="6090.78"/>
    <n v="1.44"/>
    <n v="15747"/>
    <n v="48164"/>
    <n v="1"/>
    <s v="Technology"/>
    <d v="2022-10-17T00:00:00"/>
    <s v="Quantum Quirks"/>
    <x v="5"/>
    <n v="6699.8580000000002"/>
    <n v="609.07799999999997"/>
    <n v="0.39"/>
  </r>
  <r>
    <s v="Men 18-24"/>
    <s v="Market Expansion"/>
    <s v="30 Days"/>
    <x v="0"/>
    <n v="7.0000000000000007E-2"/>
    <n v="5089.6899999999996"/>
    <n v="4.43"/>
    <n v="13019"/>
    <n v="40083"/>
    <n v="4"/>
    <s v="Fashion"/>
    <d v="2022-01-25T00:00:00"/>
    <s v="Glam Garments"/>
    <x v="1"/>
    <n v="5598.6589999999997"/>
    <n v="508.96899999999999"/>
    <n v="0.39"/>
  </r>
  <r>
    <s v="Women 35-44"/>
    <s v="Product Launch"/>
    <s v="15 Days"/>
    <x v="2"/>
    <n v="0.04"/>
    <n v="978.06"/>
    <n v="1.9662199003710999E-2"/>
    <n v="1657"/>
    <n v="6377"/>
    <n v="1"/>
    <s v="Technology"/>
    <d v="2022-04-02T00:00:00"/>
    <s v="Silicon Saga"/>
    <x v="10"/>
    <n v="1075.866"/>
    <n v="97.805999999999997"/>
    <n v="0.59"/>
  </r>
  <r>
    <s v="Men 45-60"/>
    <s v="Brand Awareness"/>
    <s v="30 Days"/>
    <x v="0"/>
    <n v="0.14000000000000001"/>
    <n v="7580.69"/>
    <n v="3.26"/>
    <n v="19765"/>
    <n v="60064"/>
    <n v="10"/>
    <s v="Technology"/>
    <d v="2022-01-26T00:00:00"/>
    <s v="Giga Geeks"/>
    <x v="1"/>
    <n v="8338.759"/>
    <n v="758.06899999999996"/>
    <n v="0.38"/>
  </r>
  <r>
    <s v="All Ages"/>
    <s v="Market Expansion"/>
    <s v="30 Days"/>
    <x v="0"/>
    <n v="0.06"/>
    <n v="6123.01"/>
    <n v="5.54"/>
    <n v="15829"/>
    <n v="48407"/>
    <n v="3"/>
    <s v="Technology"/>
    <d v="2022-01-29T00:00:00"/>
    <s v="Gadget Giants"/>
    <x v="1"/>
    <n v="6735.3109999999997"/>
    <n v="612.30100000000004"/>
    <n v="0.39"/>
  </r>
  <r>
    <s v="Men 25-34"/>
    <s v="Increase Sales"/>
    <s v="45 Days"/>
    <x v="3"/>
    <n v="0.05"/>
    <n v="10702.25"/>
    <n v="3.06"/>
    <n v="28271"/>
    <n v="85258"/>
    <n v="8"/>
    <s v="Fashion"/>
    <d v="2022-08-07T00:00:00"/>
    <s v="Runway Rebels"/>
    <x v="2"/>
    <n v="11772.475"/>
    <n v="1070.2249999999999"/>
    <n v="0.38"/>
  </r>
  <r>
    <s v="All Ages"/>
    <s v="Increase Sales"/>
    <s v="15 Days"/>
    <x v="2"/>
    <n v="0.01"/>
    <n v="3919.11"/>
    <n v="8.4011213924947203E-2"/>
    <n v="5766"/>
    <n v="19759"/>
    <n v="1"/>
    <s v="Fashion"/>
    <d v="2022-06-08T00:00:00"/>
    <s v="Runway Rebels"/>
    <x v="9"/>
    <n v="4311.0209999999997"/>
    <n v="391.911"/>
    <n v="0.68"/>
  </r>
  <r>
    <s v="Men 45-60"/>
    <s v="Increase Sales"/>
    <s v="30 Days"/>
    <x v="0"/>
    <n v="0.14000000000000001"/>
    <n v="6037.32"/>
    <n v="4.03"/>
    <n v="15602"/>
    <n v="47734"/>
    <n v="6"/>
    <s v="Home"/>
    <d v="2022-08-14T00:00:00"/>
    <s v="Space Spruce"/>
    <x v="2"/>
    <n v="6641.0519999999997"/>
    <n v="603.73199999999997"/>
    <n v="0.39"/>
  </r>
  <r>
    <s v="Men 35-44"/>
    <s v="Product Launch"/>
    <s v="15 Days"/>
    <x v="0"/>
    <n v="0.14000000000000001"/>
    <n v="2771.42"/>
    <n v="5.47"/>
    <n v="6785"/>
    <n v="21618"/>
    <n v="10"/>
    <s v="Food"/>
    <d v="2022-10-02T00:00:00"/>
    <s v="Nosh Nirvana"/>
    <x v="5"/>
    <n v="3048.5619999999999"/>
    <n v="277.142"/>
    <n v="0.41"/>
  </r>
  <r>
    <s v="Women 25-34"/>
    <s v="Brand Awareness"/>
    <s v="15 Days"/>
    <x v="1"/>
    <n v="0.05"/>
    <n v="1462.5"/>
    <n v="6.31"/>
    <n v="3731"/>
    <n v="12571"/>
    <n v="8"/>
    <s v="Food"/>
    <d v="2022-03-23T00:00:00"/>
    <s v="Feast Flavors"/>
    <x v="11"/>
    <n v="1608.75"/>
    <n v="146.25"/>
    <n v="0.39"/>
  </r>
  <r>
    <s v="Women 45-60"/>
    <s v="Increase Sales"/>
    <s v="45 Days"/>
    <x v="3"/>
    <n v="0.09"/>
    <n v="8988.9500000000007"/>
    <n v="5.69"/>
    <n v="23597"/>
    <n v="71415"/>
    <n v="1"/>
    <s v="Home"/>
    <d v="2022-04-18T00:00:00"/>
    <s v="Hearth Harmony"/>
    <x v="10"/>
    <n v="9887.8449999999993"/>
    <n v="898.89499999999998"/>
    <n v="0.38"/>
  </r>
  <r>
    <s v="Women 25-34"/>
    <s v="Increase Sales"/>
    <s v="30 Days"/>
    <x v="2"/>
    <n v="0.15"/>
    <n v="6922.67"/>
    <n v="0.72928883577401005"/>
    <n v="10566"/>
    <n v="35385"/>
    <n v="1"/>
    <s v="Home"/>
    <d v="2022-05-31T00:00:00"/>
    <s v="Cozy Corners"/>
    <x v="4"/>
    <n v="7614.9369999999999"/>
    <n v="692.26700000000005"/>
    <n v="0.66"/>
  </r>
  <r>
    <s v="Women 35-44"/>
    <s v="Product Launch"/>
    <s v="45 Days"/>
    <x v="2"/>
    <n v="0.09"/>
    <n v="10087.780000000001"/>
    <n v="0.3557070547035"/>
    <n v="15618"/>
    <n v="51835"/>
    <n v="1"/>
    <s v="Food"/>
    <d v="2022-04-04T00:00:00"/>
    <s v="Gastronomy Guild"/>
    <x v="10"/>
    <n v="11096.558000000001"/>
    <n v="1008.778"/>
    <n v="0.65"/>
  </r>
  <r>
    <s v="Women 35-44"/>
    <s v="Increase Sales"/>
    <s v="15 Days"/>
    <x v="2"/>
    <n v="0.1"/>
    <n v="1469.99"/>
    <n v="1.2208438108667801"/>
    <n v="2200"/>
    <n v="8146"/>
    <n v="1"/>
    <s v="Home"/>
    <d v="2022-11-28T00:00:00"/>
    <s v="Decor Dreams"/>
    <x v="3"/>
    <n v="1616.989"/>
    <n v="146.999"/>
    <n v="0.67"/>
  </r>
  <r>
    <s v="Men 45-60"/>
    <s v="Market Expansion"/>
    <s v="15 Days"/>
    <x v="2"/>
    <n v="0.03"/>
    <n v="4016.99"/>
    <n v="0.17695979103339901"/>
    <n v="5922"/>
    <n v="20265"/>
    <n v="1"/>
    <s v="Food"/>
    <d v="2022-05-05T00:00:00"/>
    <s v="Savor Street"/>
    <x v="4"/>
    <n v="4418.6890000000003"/>
    <n v="401.69900000000001"/>
    <n v="0.68"/>
  </r>
  <r>
    <s v="Women 25-34"/>
    <s v="Product Launch"/>
    <s v="45 Days"/>
    <x v="3"/>
    <n v="0.08"/>
    <n v="11011.11"/>
    <n v="2.08"/>
    <n v="29097"/>
    <n v="87707"/>
    <n v="4"/>
    <s v="Health"/>
    <d v="2022-12-13T00:00:00"/>
    <s v="Vigor Valley"/>
    <x v="7"/>
    <n v="12112.221"/>
    <n v="1101.1110000000001"/>
    <n v="0.38"/>
  </r>
  <r>
    <s v="Women 45-60"/>
    <s v="Product Launch"/>
    <s v="60 Days"/>
    <x v="3"/>
    <n v="0.11"/>
    <n v="14745.15"/>
    <n v="6.6"/>
    <n v="38037"/>
    <n v="114187"/>
    <n v="3"/>
    <s v="Fashion"/>
    <d v="2022-02-13T00:00:00"/>
    <s v="Chic Couture"/>
    <x v="6"/>
    <n v="16219.665000000001"/>
    <n v="1474.5150000000001"/>
    <n v="0.39"/>
  </r>
  <r>
    <s v="Women 18-24"/>
    <s v="Product Launch"/>
    <s v="30 Days"/>
    <x v="1"/>
    <n v="0.14000000000000001"/>
    <n v="6898.63"/>
    <n v="4.72"/>
    <n v="17921"/>
    <n v="54602"/>
    <n v="4"/>
    <s v="Fashion"/>
    <d v="2022-08-14T00:00:00"/>
    <s v="Style Sphere"/>
    <x v="2"/>
    <n v="7588.4930000000004"/>
    <n v="689.86300000000006"/>
    <n v="0.38"/>
  </r>
  <r>
    <s v="Women 25-34"/>
    <s v="Product Launch"/>
    <s v="15 Days"/>
    <x v="3"/>
    <n v="0.1"/>
    <n v="2138.84"/>
    <n v="1.86"/>
    <n v="5235"/>
    <n v="17025"/>
    <n v="1"/>
    <s v="Technology"/>
    <d v="2022-08-21T00:00:00"/>
    <s v="Code Crafters"/>
    <x v="2"/>
    <n v="2352.7240000000002"/>
    <n v="213.88399999999999"/>
    <n v="0.41"/>
  </r>
  <r>
    <s v="Men 18-24"/>
    <s v="Brand Awareness"/>
    <s v="15 Days"/>
    <x v="2"/>
    <n v="0.04"/>
    <n v="500"/>
    <n v="7.8648796014844202E-2"/>
    <n v="609"/>
    <n v="2965"/>
    <n v="1"/>
    <s v="Food"/>
    <d v="2022-09-16T00:00:00"/>
    <s v="Culinary Quest"/>
    <x v="8"/>
    <n v="550"/>
    <n v="50"/>
    <n v="0.82"/>
  </r>
  <r>
    <s v="Men 25-34"/>
    <s v="Increase Sales"/>
    <s v="15 Days"/>
    <x v="2"/>
    <n v="0.11"/>
    <n v="500"/>
    <n v="0.76861323378143198"/>
    <n v="1001"/>
    <n v="4243"/>
    <n v="1"/>
    <s v="Technology"/>
    <d v="2022-08-30T00:00:00"/>
    <s v="NexGen Nerds"/>
    <x v="2"/>
    <n v="550"/>
    <n v="50"/>
    <n v="0.5"/>
  </r>
  <r>
    <s v="Women 18-24"/>
    <s v="Product Launch"/>
    <s v="45 Days"/>
    <x v="2"/>
    <n v="0.01"/>
    <n v="8181.2"/>
    <n v="0.96523522381854299"/>
    <n v="12575"/>
    <n v="41930"/>
    <n v="1"/>
    <s v="Home"/>
    <d v="2022-09-26T00:00:00"/>
    <s v="Dwell Delight"/>
    <x v="8"/>
    <n v="8999.32"/>
    <n v="818.11999999999898"/>
    <n v="0.65"/>
  </r>
  <r>
    <s v="Men 25-34"/>
    <s v="Product Launch"/>
    <s v="60 Days"/>
    <x v="2"/>
    <n v="0.08"/>
    <n v="12146.19"/>
    <n v="1.31379238797523"/>
    <n v="18884"/>
    <n v="62471"/>
    <n v="1"/>
    <s v="Food"/>
    <d v="2022-02-08T00:00:00"/>
    <s v="Dine Divine"/>
    <x v="6"/>
    <n v="13360.808999999999"/>
    <n v="1214.6189999999999"/>
    <n v="0.64"/>
  </r>
  <r>
    <s v="Men 45-60"/>
    <s v="Product Launch"/>
    <s v="15 Days"/>
    <x v="3"/>
    <n v="0.11"/>
    <n v="500"/>
    <n v="4.3499999999999996"/>
    <n v="948"/>
    <n v="4329"/>
    <n v="9"/>
    <s v="Health"/>
    <d v="2022-09-28T00:00:00"/>
    <s v="Elixir Essence"/>
    <x v="8"/>
    <n v="550"/>
    <n v="50"/>
    <n v="0.53"/>
  </r>
  <r>
    <s v="All Ages"/>
    <s v="Product Launch"/>
    <s v="15 Days"/>
    <x v="0"/>
    <n v="0.08"/>
    <n v="3910.07"/>
    <n v="5.8"/>
    <n v="9792"/>
    <n v="30525"/>
    <n v="3"/>
    <s v="Food"/>
    <d v="2022-04-06T00:00:00"/>
    <s v="Dine Divine"/>
    <x v="10"/>
    <n v="4301.0770000000002"/>
    <n v="391.00700000000001"/>
    <n v="0.4"/>
  </r>
  <r>
    <s v="Men 25-34"/>
    <s v="Increase Sales"/>
    <s v="45 Days"/>
    <x v="2"/>
    <n v="7.0000000000000007E-2"/>
    <n v="8636.2000000000007"/>
    <n v="0.31102023878597501"/>
    <n v="13305"/>
    <n v="44305"/>
    <n v="1"/>
    <s v="Technology"/>
    <d v="2022-07-21T00:00:00"/>
    <s v="NexGen Nerds"/>
    <x v="0"/>
    <n v="9499.82"/>
    <n v="863.62"/>
    <n v="0.65"/>
  </r>
  <r>
    <s v="All Ages"/>
    <s v="Increase Sales"/>
    <s v="30 Days"/>
    <x v="0"/>
    <n v="0.14000000000000001"/>
    <n v="7740.76"/>
    <n v="4.67"/>
    <n v="20205"/>
    <n v="61366"/>
    <n v="4"/>
    <s v="Fashion"/>
    <d v="2022-04-01T00:00:00"/>
    <s v="Silk &amp; Style"/>
    <x v="10"/>
    <n v="8514.8359999999993"/>
    <n v="774.07600000000002"/>
    <n v="0.38"/>
  </r>
  <r>
    <s v="Women 25-34"/>
    <s v="Product Launch"/>
    <s v="60 Days"/>
    <x v="1"/>
    <n v="0.13"/>
    <n v="13311.4"/>
    <n v="7.67"/>
    <n v="35136"/>
    <n v="105595"/>
    <n v="3"/>
    <s v="Technology"/>
    <d v="2022-03-04T00:00:00"/>
    <s v="NexGen Nerds"/>
    <x v="11"/>
    <n v="14642.54"/>
    <n v="1331.14"/>
    <n v="0.38"/>
  </r>
  <r>
    <s v="Men 35-44"/>
    <s v="Market Expansion"/>
    <s v="45 Days"/>
    <x v="1"/>
    <n v="0.02"/>
    <n v="10167.24"/>
    <n v="5.38"/>
    <n v="26812"/>
    <n v="80937"/>
    <n v="6"/>
    <s v="Food"/>
    <d v="2022-03-03T00:00:00"/>
    <s v="Culinary Quest"/>
    <x v="11"/>
    <n v="11183.964"/>
    <n v="1016.724"/>
    <n v="0.38"/>
  </r>
  <r>
    <s v="All Ages"/>
    <s v="Brand Awareness"/>
    <s v="45 Days"/>
    <x v="2"/>
    <n v="0.06"/>
    <n v="9459.7199999999993"/>
    <n v="1.1457699601253399"/>
    <n v="14603"/>
    <n v="48533"/>
    <n v="1"/>
    <s v="Health"/>
    <d v="2022-06-25T00:00:00"/>
    <s v="Wellness Waves"/>
    <x v="9"/>
    <n v="10405.691999999999"/>
    <n v="945.972000000001"/>
    <n v="0.65"/>
  </r>
  <r>
    <s v="Men 25-34"/>
    <s v="Increase Sales"/>
    <s v="30 Days"/>
    <x v="3"/>
    <n v="0.04"/>
    <n v="5877.2"/>
    <n v="3.36"/>
    <n v="15165"/>
    <n v="46438"/>
    <n v="6"/>
    <s v="Fashion"/>
    <d v="2022-10-23T00:00:00"/>
    <s v="Runway Rebels"/>
    <x v="5"/>
    <n v="6464.92"/>
    <n v="587.72"/>
    <n v="0.39"/>
  </r>
  <r>
    <s v="Women 18-24"/>
    <s v="Increase Sales"/>
    <s v="60 Days"/>
    <x v="0"/>
    <n v="0.11"/>
    <n v="11910.79"/>
    <n v="0.38"/>
    <n v="31537"/>
    <n v="94933"/>
    <n v="6"/>
    <s v="Fashion"/>
    <d v="2022-01-06T00:00:00"/>
    <s v="Style Sphere"/>
    <x v="1"/>
    <n v="13101.869000000001"/>
    <n v="1191.079"/>
    <n v="0.38"/>
  </r>
  <r>
    <s v="Men 45-60"/>
    <s v="Product Launch"/>
    <s v="15 Days"/>
    <x v="3"/>
    <n v="0.09"/>
    <n v="1504.08"/>
    <n v="7.61"/>
    <n v="3814"/>
    <n v="12818"/>
    <n v="3"/>
    <s v="Food"/>
    <d v="2022-06-10T00:00:00"/>
    <s v="Gastronomy Guild"/>
    <x v="9"/>
    <n v="1654.4880000000001"/>
    <n v="150.40799999999999"/>
    <n v="0.39"/>
  </r>
  <r>
    <s v="Men 35-44"/>
    <s v="Brand Awareness"/>
    <s v="30 Days"/>
    <x v="0"/>
    <n v="0.15"/>
    <n v="7448.26"/>
    <n v="4.51"/>
    <n v="19397"/>
    <n v="58975"/>
    <n v="8"/>
    <s v="Health"/>
    <d v="2022-05-04T00:00:00"/>
    <s v="Aura Align"/>
    <x v="4"/>
    <n v="8193.0859999999993"/>
    <n v="744.82600000000002"/>
    <n v="0.38"/>
  </r>
  <r>
    <s v="Men 18-24"/>
    <s v="Brand Awareness"/>
    <s v="15 Days"/>
    <x v="2"/>
    <n v="0.1"/>
    <n v="705.06"/>
    <n v="0.33246991042638702"/>
    <n v="1394"/>
    <n v="5521"/>
    <n v="1"/>
    <s v="Food"/>
    <d v="2022-11-19T00:00:00"/>
    <s v="Nosh Nirvana"/>
    <x v="3"/>
    <n v="775.56600000000003"/>
    <n v="70.506"/>
    <n v="0.51"/>
  </r>
  <r>
    <s v="Men 18-24"/>
    <s v="Market Expansion"/>
    <s v="45 Days"/>
    <x v="2"/>
    <n v="0.14000000000000001"/>
    <n v="9911.67"/>
    <n v="0.45759299499545703"/>
    <n v="15335"/>
    <n v="50916"/>
    <n v="1"/>
    <s v="Technology"/>
    <d v="2022-09-01T00:00:00"/>
    <s v="Gadget Giants"/>
    <x v="8"/>
    <n v="10902.837"/>
    <n v="991.16700000000105"/>
    <n v="0.65"/>
  </r>
  <r>
    <s v="Men 25-34"/>
    <s v="Increase Sales"/>
    <s v="15 Days"/>
    <x v="3"/>
    <n v="0.12"/>
    <n v="4100.13"/>
    <n v="4.22"/>
    <n v="10315"/>
    <n v="32073"/>
    <n v="10"/>
    <s v="Health"/>
    <d v="2022-05-23T00:00:00"/>
    <s v="Well Wish"/>
    <x v="4"/>
    <n v="4510.143"/>
    <n v="410.01299999999998"/>
    <n v="0.4"/>
  </r>
  <r>
    <s v="Men 25-34"/>
    <s v="Product Launch"/>
    <s v="15 Days"/>
    <x v="0"/>
    <n v="0.02"/>
    <n v="931.75"/>
    <n v="6.72"/>
    <n v="2741"/>
    <n v="9639"/>
    <n v="10"/>
    <s v="Food"/>
    <d v="2022-04-06T00:00:00"/>
    <s v="Palate Paradise"/>
    <x v="10"/>
    <n v="1024.925"/>
    <n v="93.175000000000097"/>
    <n v="0.34"/>
  </r>
  <r>
    <s v="Men 25-34"/>
    <s v="Market Expansion"/>
    <s v="60 Days"/>
    <x v="1"/>
    <n v="0.06"/>
    <n v="12243.94"/>
    <n v="0.53"/>
    <n v="32418"/>
    <n v="97542"/>
    <n v="6"/>
    <s v="Home"/>
    <d v="2022-11-22T00:00:00"/>
    <s v="Cozy Corners"/>
    <x v="3"/>
    <n v="13468.334000000001"/>
    <n v="1224.394"/>
    <n v="0.38"/>
  </r>
  <r>
    <s v="Women 35-44"/>
    <s v="Increase Sales"/>
    <s v="60 Days"/>
    <x v="0"/>
    <n v="0.14000000000000001"/>
    <n v="12483.97"/>
    <n v="5.52"/>
    <n v="33042"/>
    <n v="99391"/>
    <n v="3"/>
    <s v="Health"/>
    <d v="2022-12-26T00:00:00"/>
    <s v="Vigor Valley"/>
    <x v="7"/>
    <n v="13732.367"/>
    <n v="1248.3969999999999"/>
    <n v="0.38"/>
  </r>
  <r>
    <s v="Women 18-24"/>
    <s v="Product Launch"/>
    <s v="30 Days"/>
    <x v="3"/>
    <n v="0.09"/>
    <n v="4819.9799999999996"/>
    <n v="2.2400000000000002"/>
    <n v="12281"/>
    <n v="37897"/>
    <n v="4"/>
    <s v="Technology"/>
    <d v="2022-02-11T00:00:00"/>
    <s v="Silicon Saga"/>
    <x v="6"/>
    <n v="5301.9780000000001"/>
    <n v="481.99799999999999"/>
    <n v="0.39"/>
  </r>
  <r>
    <s v="Men 35-44"/>
    <s v="Market Expansion"/>
    <s v="45 Days"/>
    <x v="3"/>
    <n v="0.11"/>
    <n v="9501.43"/>
    <n v="2.89"/>
    <n v="24984"/>
    <n v="75523"/>
    <n v="8"/>
    <s v="Health"/>
    <d v="2022-08-24T00:00:00"/>
    <s v="Well Wish"/>
    <x v="2"/>
    <n v="10451.573"/>
    <n v="950.14300000000003"/>
    <n v="0.38"/>
  </r>
  <r>
    <s v="All Ages"/>
    <s v="Product Launch"/>
    <s v="60 Days"/>
    <x v="1"/>
    <n v="0.06"/>
    <n v="15000"/>
    <n v="5.82"/>
    <n v="39231"/>
    <n v="117723"/>
    <n v="6"/>
    <s v="Home"/>
    <d v="2022-02-09T00:00:00"/>
    <s v="Furnish Fine"/>
    <x v="6"/>
    <n v="16500"/>
    <n v="1500"/>
    <n v="0.38"/>
  </r>
  <r>
    <s v="Men 35-44"/>
    <s v="Market Expansion"/>
    <s v="15 Days"/>
    <x v="1"/>
    <n v="0.06"/>
    <n v="1775.28"/>
    <n v="1.4"/>
    <n v="4381"/>
    <n v="14496"/>
    <n v="9"/>
    <s v="Fashion"/>
    <d v="2022-07-29T00:00:00"/>
    <s v="Glam Garments"/>
    <x v="0"/>
    <n v="1952.808"/>
    <n v="177.52799999999999"/>
    <n v="0.41"/>
  </r>
  <r>
    <s v="Men 45-60"/>
    <s v="Market Expansion"/>
    <s v="60 Days"/>
    <x v="2"/>
    <n v="0.14000000000000001"/>
    <n v="12344.79"/>
    <n v="0.49691739300287902"/>
    <n v="19193"/>
    <n v="63479"/>
    <n v="1"/>
    <s v="Health"/>
    <d v="2022-07-17T00:00:00"/>
    <s v="Vigor Valley"/>
    <x v="0"/>
    <n v="13579.269"/>
    <n v="1234.479"/>
    <n v="0.64"/>
  </r>
  <r>
    <s v="Women 25-34"/>
    <s v="Product Launch"/>
    <s v="60 Days"/>
    <x v="1"/>
    <n v="0.13"/>
    <n v="12408.63"/>
    <n v="5.39"/>
    <n v="32852"/>
    <n v="98827"/>
    <n v="6"/>
    <s v="Health"/>
    <d v="2022-05-21T00:00:00"/>
    <s v="Well Wish"/>
    <x v="4"/>
    <n v="13649.493"/>
    <n v="1240.8630000000001"/>
    <n v="0.38"/>
  </r>
  <r>
    <s v="Men 45-60"/>
    <s v="Market Expansion"/>
    <s v="30 Days"/>
    <x v="2"/>
    <n v="0.08"/>
    <n v="6275.35"/>
    <n v="1.3727789849863701"/>
    <n v="9537"/>
    <n v="32037"/>
    <n v="1"/>
    <s v="Technology"/>
    <d v="2022-04-13T00:00:00"/>
    <s v="Tech Titans"/>
    <x v="10"/>
    <n v="6902.8850000000002"/>
    <n v="627.53499999999997"/>
    <n v="0.66"/>
  </r>
  <r>
    <s v="Women 35-44"/>
    <s v="Product Launch"/>
    <s v="30 Days"/>
    <x v="2"/>
    <n v="0.05"/>
    <n v="4512.26"/>
    <n v="1.4192532735405901"/>
    <n v="6720"/>
    <n v="22862"/>
    <n v="1"/>
    <s v="Home"/>
    <d v="2022-01-10T00:00:00"/>
    <s v="Furnish Fine"/>
    <x v="1"/>
    <n v="4963.4859999999999"/>
    <n v="451.226"/>
    <n v="0.67"/>
  </r>
  <r>
    <s v="Men 18-24"/>
    <s v="Brand Awareness"/>
    <s v="45 Days"/>
    <x v="2"/>
    <n v="0.08"/>
    <n v="8720.23"/>
    <n v="0.95093544272493502"/>
    <n v="13438"/>
    <n v="44737"/>
    <n v="1"/>
    <s v="Fashion"/>
    <d v="2022-10-04T00:00:00"/>
    <s v="Fiber Fashion"/>
    <x v="5"/>
    <n v="9592.2530000000006"/>
    <n v="872.02300000000105"/>
    <n v="0.65"/>
  </r>
  <r>
    <s v="Men 25-34"/>
    <s v="Market Expansion"/>
    <s v="60 Days"/>
    <x v="3"/>
    <n v="0.06"/>
    <n v="13816.92"/>
    <n v="4.96"/>
    <n v="36283"/>
    <n v="108990"/>
    <n v="7"/>
    <s v="Technology"/>
    <d v="2022-03-03T00:00:00"/>
    <s v="Pixel Pioneers"/>
    <x v="11"/>
    <n v="15198.611999999999"/>
    <n v="1381.692"/>
    <n v="0.38"/>
  </r>
  <r>
    <s v="Men 25-34"/>
    <s v="Market Expansion"/>
    <s v="60 Days"/>
    <x v="2"/>
    <n v="0.03"/>
    <n v="13672.4"/>
    <n v="0.72213894522720601"/>
    <n v="21127"/>
    <n v="69774"/>
    <n v="1"/>
    <s v="Home"/>
    <d v="2022-11-04T00:00:00"/>
    <s v="Hearth Harmony"/>
    <x v="3"/>
    <n v="15039.64"/>
    <n v="1367.24"/>
    <n v="0.65"/>
  </r>
  <r>
    <s v="All Ages"/>
    <s v="Increase Sales"/>
    <s v="60 Days"/>
    <x v="1"/>
    <n v="0.15"/>
    <n v="12614.44"/>
    <n v="2.08"/>
    <n v="33385"/>
    <n v="100406"/>
    <n v="5"/>
    <s v="Health"/>
    <d v="2022-09-28T00:00:00"/>
    <s v="Vigor Valley"/>
    <x v="8"/>
    <n v="13875.884"/>
    <n v="1261.444"/>
    <n v="0.38"/>
  </r>
  <r>
    <s v="Men 45-60"/>
    <s v="Increase Sales"/>
    <s v="15 Days"/>
    <x v="1"/>
    <n v="0.09"/>
    <n v="1957.58"/>
    <n v="5.14"/>
    <n v="4804"/>
    <n v="15750"/>
    <n v="3"/>
    <s v="Technology"/>
    <d v="2022-11-19T00:00:00"/>
    <s v="Quantum Quirks"/>
    <x v="3"/>
    <n v="2153.3380000000002"/>
    <n v="195.75800000000001"/>
    <n v="0.41"/>
  </r>
  <r>
    <s v="Women 45-60"/>
    <s v="Market Expansion"/>
    <s v="60 Days"/>
    <x v="1"/>
    <n v="0.12"/>
    <n v="15000"/>
    <n v="2.9"/>
    <n v="38415"/>
    <n v="115305"/>
    <n v="8"/>
    <s v="Home"/>
    <d v="2022-09-08T00:00:00"/>
    <s v="Nest Neat"/>
    <x v="8"/>
    <n v="16500"/>
    <n v="1500"/>
    <n v="0.39"/>
  </r>
  <r>
    <s v="Men 25-34"/>
    <s v="Market Expansion"/>
    <s v="45 Days"/>
    <x v="2"/>
    <n v="0.14000000000000001"/>
    <n v="10278.64"/>
    <n v="0.75967587059792696"/>
    <n v="15920"/>
    <n v="52820"/>
    <n v="1"/>
    <s v="Fashion"/>
    <d v="2022-05-29T00:00:00"/>
    <s v="Vogue Visions"/>
    <x v="4"/>
    <n v="11306.504000000001"/>
    <n v="1027.864"/>
    <n v="0.65"/>
  </r>
  <r>
    <s v="Women 18-24"/>
    <s v="Brand Awareness"/>
    <s v="45 Days"/>
    <x v="1"/>
    <n v="0.05"/>
    <n v="10751.45"/>
    <n v="5.83"/>
    <n v="28398"/>
    <n v="85635"/>
    <n v="7"/>
    <s v="Technology"/>
    <d v="2022-11-20T00:00:00"/>
    <s v="Giga Geeks"/>
    <x v="3"/>
    <n v="11826.594999999999"/>
    <n v="1075.145"/>
    <n v="0.38"/>
  </r>
  <r>
    <s v="Men 25-34"/>
    <s v="Increase Sales"/>
    <s v="60 Days"/>
    <x v="1"/>
    <n v="0.13"/>
    <n v="11723.07"/>
    <n v="7.93"/>
    <n v="31039"/>
    <n v="93459"/>
    <n v="7"/>
    <s v="Health"/>
    <d v="2022-03-07T00:00:00"/>
    <s v="Heal Hub"/>
    <x v="11"/>
    <n v="12895.377"/>
    <n v="1172.307"/>
    <n v="0.38"/>
  </r>
  <r>
    <s v="Men 25-34"/>
    <s v="Product Launch"/>
    <s v="30 Days"/>
    <x v="1"/>
    <n v="0.1"/>
    <n v="4730.2"/>
    <n v="7.62"/>
    <n v="12040"/>
    <n v="37182"/>
    <n v="7"/>
    <s v="Health"/>
    <d v="2022-06-09T00:00:00"/>
    <s v="Pulse Point"/>
    <x v="9"/>
    <n v="5203.22"/>
    <n v="473.02"/>
    <n v="0.39"/>
  </r>
  <r>
    <s v="Men 45-60"/>
    <s v="Product Launch"/>
    <s v="15 Days"/>
    <x v="2"/>
    <n v="0.03"/>
    <n v="500"/>
    <n v="0.88122400989359595"/>
    <n v="1080"/>
    <n v="4500"/>
    <n v="1"/>
    <s v="Health"/>
    <d v="2022-07-18T00:00:00"/>
    <s v="Balance Beam"/>
    <x v="0"/>
    <n v="550"/>
    <n v="50"/>
    <n v="0.46"/>
  </r>
  <r>
    <s v="Women 45-60"/>
    <s v="Product Launch"/>
    <s v="15 Days"/>
    <x v="1"/>
    <n v="0.08"/>
    <n v="3480.73"/>
    <n v="3.74"/>
    <n v="8630"/>
    <n v="27083"/>
    <n v="8"/>
    <s v="Fashion"/>
    <d v="2022-11-11T00:00:00"/>
    <s v="Trend Tailors"/>
    <x v="3"/>
    <n v="3828.8029999999999"/>
    <n v="348.07299999999998"/>
    <n v="0.4"/>
  </r>
  <r>
    <s v="Men 45-60"/>
    <s v="Product Launch"/>
    <s v="45 Days"/>
    <x v="1"/>
    <n v="0.03"/>
    <n v="8431.3700000000008"/>
    <n v="7.32"/>
    <n v="22101"/>
    <n v="66982"/>
    <n v="10"/>
    <s v="Food"/>
    <d v="2022-11-24T00:00:00"/>
    <s v="Feast Flavors"/>
    <x v="3"/>
    <n v="9274.5069999999996"/>
    <n v="843.13699999999994"/>
    <n v="0.38"/>
  </r>
  <r>
    <s v="Women 25-34"/>
    <s v="Brand Awareness"/>
    <s v="15 Days"/>
    <x v="0"/>
    <n v="0.09"/>
    <n v="2179.4"/>
    <n v="7.87"/>
    <n v="5334"/>
    <n v="17319"/>
    <n v="10"/>
    <s v="Home"/>
    <d v="2022-01-25T00:00:00"/>
    <s v="Space Spruce"/>
    <x v="1"/>
    <n v="2397.34"/>
    <n v="217.94"/>
    <n v="0.41"/>
  </r>
  <r>
    <s v="Men 25-34"/>
    <s v="Increase Sales"/>
    <s v="45 Days"/>
    <x v="0"/>
    <n v="0.14000000000000001"/>
    <n v="10593.01"/>
    <n v="2.44"/>
    <n v="27966"/>
    <n v="84357"/>
    <n v="6"/>
    <s v="Health"/>
    <d v="2022-04-26T00:00:00"/>
    <s v="Fitness Front"/>
    <x v="10"/>
    <n v="11652.311"/>
    <n v="1059.3009999999999"/>
    <n v="0.38"/>
  </r>
  <r>
    <s v="Men 25-34"/>
    <s v="Product Launch"/>
    <s v="30 Days"/>
    <x v="3"/>
    <n v="0.06"/>
    <n v="6154.71"/>
    <n v="2.78"/>
    <n v="15916"/>
    <n v="48664"/>
    <n v="9"/>
    <s v="Food"/>
    <d v="2022-04-03T00:00:00"/>
    <s v="Feast Flavors"/>
    <x v="10"/>
    <n v="6770.1809999999996"/>
    <n v="615.471"/>
    <n v="0.39"/>
  </r>
  <r>
    <s v="Women 45-60"/>
    <s v="Brand Awareness"/>
    <s v="15 Days"/>
    <x v="2"/>
    <n v="0.05"/>
    <n v="2438.34"/>
    <n v="0.21807166167752201"/>
    <n v="3499"/>
    <n v="12375"/>
    <n v="1"/>
    <s v="Home"/>
    <d v="2022-05-24T00:00:00"/>
    <s v="Homely Haven"/>
    <x v="4"/>
    <n v="2682.174"/>
    <n v="243.834"/>
    <n v="0.7"/>
  </r>
  <r>
    <s v="All Ages"/>
    <s v="Increase Sales"/>
    <s v="30 Days"/>
    <x v="1"/>
    <n v="0.03"/>
    <n v="6400.21"/>
    <n v="1.38"/>
    <n v="16582"/>
    <n v="50636"/>
    <n v="6"/>
    <s v="Health"/>
    <d v="2022-11-27T00:00:00"/>
    <s v="Fitness Front"/>
    <x v="3"/>
    <n v="7040.2309999999998"/>
    <n v="640.02099999999996"/>
    <n v="0.39"/>
  </r>
  <r>
    <s v="Women 25-34"/>
    <s v="Brand Awareness"/>
    <s v="15 Days"/>
    <x v="3"/>
    <n v="0.12"/>
    <n v="3866.04"/>
    <n v="1.49"/>
    <n v="9673"/>
    <n v="30172"/>
    <n v="5"/>
    <s v="Food"/>
    <d v="2022-10-20T00:00:00"/>
    <s v="Feast Flavors"/>
    <x v="5"/>
    <n v="4252.6440000000002"/>
    <n v="386.60399999999998"/>
    <n v="0.4"/>
  </r>
  <r>
    <s v="Men 35-44"/>
    <s v="Product Launch"/>
    <s v="30 Days"/>
    <x v="0"/>
    <n v="0.06"/>
    <n v="4708.7700000000004"/>
    <n v="6.27"/>
    <n v="11981"/>
    <n v="37007"/>
    <n v="1"/>
    <s v="Health"/>
    <d v="2022-08-21T00:00:00"/>
    <s v="Balance Beam"/>
    <x v="2"/>
    <n v="5179.6469999999999"/>
    <n v="470.87700000000001"/>
    <n v="0.39"/>
  </r>
  <r>
    <s v="All Ages"/>
    <s v="Brand Awareness"/>
    <s v="60 Days"/>
    <x v="2"/>
    <n v="0.14000000000000001"/>
    <n v="13915.01"/>
    <n v="0.86156181088988504"/>
    <n v="21432"/>
    <n v="70767"/>
    <n v="1"/>
    <s v="Fashion"/>
    <d v="2022-06-08T00:00:00"/>
    <s v="Runway Rebels"/>
    <x v="9"/>
    <n v="15306.511"/>
    <n v="1391.501"/>
    <n v="0.65"/>
  </r>
  <r>
    <s v="Women 18-24"/>
    <s v="Product Launch"/>
    <s v="45 Days"/>
    <x v="1"/>
    <n v="0.15"/>
    <n v="8647.61"/>
    <n v="4.6900000000000004"/>
    <n v="22683"/>
    <n v="68709"/>
    <n v="5"/>
    <s v="Food"/>
    <d v="2022-03-23T00:00:00"/>
    <s v="Nosh Nirvana"/>
    <x v="11"/>
    <n v="9512.3709999999992"/>
    <n v="864.76099999999997"/>
    <n v="0.38"/>
  </r>
  <r>
    <s v="Women 25-34"/>
    <s v="Brand Awareness"/>
    <s v="60 Days"/>
    <x v="1"/>
    <n v="0.06"/>
    <n v="13432.8"/>
    <n v="4.79"/>
    <n v="35424"/>
    <n v="106447"/>
    <n v="3"/>
    <s v="Food"/>
    <d v="2022-12-08T00:00:00"/>
    <s v="Savor Street"/>
    <x v="7"/>
    <n v="14776.08"/>
    <n v="1343.28"/>
    <n v="0.38"/>
  </r>
  <r>
    <s v="Women 25-34"/>
    <s v="Increase Sales"/>
    <s v="45 Days"/>
    <x v="2"/>
    <n v="0.08"/>
    <n v="8577.01"/>
    <n v="0.10903583083876101"/>
    <n v="13213"/>
    <n v="44006"/>
    <n v="1"/>
    <s v="Food"/>
    <d v="2022-10-19T00:00:00"/>
    <s v="Epicurean Edge"/>
    <x v="5"/>
    <n v="9434.7109999999993"/>
    <n v="857.70100000000002"/>
    <n v="0.65"/>
  </r>
  <r>
    <s v="Men 18-24"/>
    <s v="Increase Sales"/>
    <s v="60 Days"/>
    <x v="1"/>
    <n v="0.06"/>
    <n v="11499.12"/>
    <n v="6.84"/>
    <n v="30436"/>
    <n v="91673"/>
    <n v="9"/>
    <s v="Fashion"/>
    <d v="2022-12-02T00:00:00"/>
    <s v="Glam Garments"/>
    <x v="7"/>
    <n v="12649.031999999999"/>
    <n v="1149.912"/>
    <n v="0.38"/>
  </r>
  <r>
    <s v="Men 45-60"/>
    <s v="Product Launch"/>
    <s v="30 Days"/>
    <x v="1"/>
    <n v="0.11"/>
    <n v="4753.49"/>
    <n v="5.87"/>
    <n v="12097"/>
    <n v="37352"/>
    <n v="2"/>
    <s v="Technology"/>
    <d v="2022-11-24T00:00:00"/>
    <s v="Pixel Pioneers"/>
    <x v="3"/>
    <n v="5228.8389999999999"/>
    <n v="475.34899999999999"/>
    <n v="0.39"/>
  </r>
  <r>
    <s v="Men 25-34"/>
    <s v="Increase Sales"/>
    <s v="45 Days"/>
    <x v="1"/>
    <n v="0.11"/>
    <n v="10342"/>
    <n v="3.95"/>
    <n v="27282"/>
    <n v="82329"/>
    <n v="2"/>
    <s v="Fashion"/>
    <d v="2022-06-22T00:00:00"/>
    <s v="Chic Couture"/>
    <x v="9"/>
    <n v="11376.2"/>
    <n v="1034.2"/>
    <n v="0.38"/>
  </r>
  <r>
    <s v="Women 35-44"/>
    <s v="Brand Awareness"/>
    <s v="60 Days"/>
    <x v="1"/>
    <n v="0.09"/>
    <n v="12767.26"/>
    <n v="0.17"/>
    <n v="33787"/>
    <n v="101597"/>
    <n v="3"/>
    <s v="Food"/>
    <d v="2022-09-07T00:00:00"/>
    <s v="Dine Divine"/>
    <x v="8"/>
    <n v="14043.986000000001"/>
    <n v="1276.7260000000001"/>
    <n v="0.38"/>
  </r>
  <r>
    <s v="All Ages"/>
    <s v="Market Expansion"/>
    <s v="60 Days"/>
    <x v="0"/>
    <n v="0.11"/>
    <n v="14825.27"/>
    <n v="4.76"/>
    <n v="38160"/>
    <n v="114552"/>
    <n v="2"/>
    <s v="Health"/>
    <d v="2022-05-14T00:00:00"/>
    <s v="Well Wish"/>
    <x v="4"/>
    <n v="16307.797"/>
    <n v="1482.527"/>
    <n v="0.39"/>
  </r>
  <r>
    <s v="Men 45-60"/>
    <s v="Increase Sales"/>
    <s v="60 Days"/>
    <x v="3"/>
    <n v="0.02"/>
    <n v="12185.08"/>
    <n v="0.8"/>
    <n v="32261"/>
    <n v="97077"/>
    <n v="7"/>
    <s v="Technology"/>
    <d v="2022-07-20T00:00:00"/>
    <s v="NexGen Nerds"/>
    <x v="0"/>
    <n v="13403.588"/>
    <n v="1218.508"/>
    <n v="0.38"/>
  </r>
  <r>
    <s v="Men 25-34"/>
    <s v="Product Launch"/>
    <s v="30 Days"/>
    <x v="2"/>
    <n v="0.11"/>
    <n v="5357.96"/>
    <n v="0.65600245766926901"/>
    <n v="8072"/>
    <n v="27266"/>
    <n v="1"/>
    <s v="Health"/>
    <d v="2022-07-10T00:00:00"/>
    <s v="Well Wish"/>
    <x v="0"/>
    <n v="5893.7560000000003"/>
    <n v="535.79600000000005"/>
    <n v="0.66"/>
  </r>
  <r>
    <s v="Women 18-24"/>
    <s v="Increase Sales"/>
    <s v="30 Days"/>
    <x v="1"/>
    <n v="0.02"/>
    <n v="5850.46"/>
    <n v="6.45"/>
    <n v="15087"/>
    <n v="46209"/>
    <n v="10"/>
    <s v="Health"/>
    <d v="2022-07-28T00:00:00"/>
    <s v="Heal Hub"/>
    <x v="0"/>
    <n v="6435.5060000000003"/>
    <n v="585.04600000000005"/>
    <n v="0.39"/>
  </r>
  <r>
    <s v="Women 18-24"/>
    <s v="Increase Sales"/>
    <s v="45 Days"/>
    <x v="3"/>
    <n v="0.02"/>
    <n v="8215.91"/>
    <n v="7.83"/>
    <n v="21504"/>
    <n v="65217"/>
    <n v="9"/>
    <s v="Technology"/>
    <d v="2022-08-26T00:00:00"/>
    <s v="Gadget Giants"/>
    <x v="2"/>
    <n v="9037.5010000000002"/>
    <n v="821.59100000000001"/>
    <n v="0.38"/>
  </r>
  <r>
    <s v="Women 25-34"/>
    <s v="Market Expansion"/>
    <s v="15 Days"/>
    <x v="0"/>
    <n v="0.05"/>
    <n v="1052.82"/>
    <n v="3.6"/>
    <n v="2959"/>
    <n v="10286"/>
    <n v="8"/>
    <s v="Health"/>
    <d v="2022-02-15T00:00:00"/>
    <s v="Pulse Point"/>
    <x v="6"/>
    <n v="1158.1020000000001"/>
    <n v="105.282"/>
    <n v="0.36"/>
  </r>
  <r>
    <s v="Women 35-44"/>
    <s v="Product Launch"/>
    <s v="60 Days"/>
    <x v="0"/>
    <n v="0.03"/>
    <n v="15000"/>
    <n v="0.08"/>
    <n v="38797"/>
    <n v="116438"/>
    <n v="10"/>
    <s v="Home"/>
    <d v="2022-05-30T00:00:00"/>
    <s v="Furnish Fine"/>
    <x v="4"/>
    <n v="16500"/>
    <n v="1500"/>
    <n v="0.39"/>
  </r>
  <r>
    <s v="Women 25-34"/>
    <s v="Brand Awareness"/>
    <s v="30 Days"/>
    <x v="2"/>
    <n v="0.03"/>
    <n v="5511"/>
    <n v="1.2440809551439"/>
    <n v="8317"/>
    <n v="28062"/>
    <n v="1"/>
    <s v="Technology"/>
    <d v="2022-07-30T00:00:00"/>
    <s v="Code Crafters"/>
    <x v="0"/>
    <n v="6062.1"/>
    <n v="551.1"/>
    <n v="0.66"/>
  </r>
  <r>
    <s v="Men 25-34"/>
    <s v="Market Expansion"/>
    <s v="60 Days"/>
    <x v="2"/>
    <n v="0.05"/>
    <n v="11921"/>
    <n v="0.63097784075545504"/>
    <n v="18539"/>
    <n v="61347"/>
    <n v="1"/>
    <s v="Health"/>
    <d v="2022-07-20T00:00:00"/>
    <s v="Fitness Front"/>
    <x v="0"/>
    <n v="13113.1"/>
    <n v="1192.0999999999999"/>
    <n v="0.64"/>
  </r>
  <r>
    <s v="Women 45-60"/>
    <s v="Product Launch"/>
    <s v="45 Days"/>
    <x v="3"/>
    <n v="0.03"/>
    <n v="7998.82"/>
    <n v="1.85"/>
    <n v="20910"/>
    <n v="63457"/>
    <n v="2"/>
    <s v="Fashion"/>
    <d v="2022-03-10T00:00:00"/>
    <s v="Trend Tailors"/>
    <x v="11"/>
    <n v="8798.7019999999993"/>
    <n v="799.88200000000097"/>
    <n v="0.38"/>
  </r>
  <r>
    <s v="Men 45-60"/>
    <s v="Market Expansion"/>
    <s v="30 Days"/>
    <x v="1"/>
    <n v="0.11"/>
    <n v="4408.63"/>
    <n v="2.88"/>
    <n v="11160"/>
    <n v="34577"/>
    <n v="9"/>
    <s v="Fashion"/>
    <d v="2022-08-15T00:00:00"/>
    <s v="Vogue Visions"/>
    <x v="2"/>
    <n v="4849.4930000000004"/>
    <n v="440.863"/>
    <n v="0.4"/>
  </r>
  <r>
    <s v="Women 45-60"/>
    <s v="Product Launch"/>
    <s v="60 Days"/>
    <x v="0"/>
    <n v="0.05"/>
    <n v="13127.35"/>
    <n v="5.91"/>
    <n v="34693"/>
    <n v="104282"/>
    <n v="9"/>
    <s v="Fashion"/>
    <d v="2022-03-16T00:00:00"/>
    <s v="Style Sphere"/>
    <x v="11"/>
    <n v="14440.084999999999"/>
    <n v="1312.7349999999999"/>
    <n v="0.38"/>
  </r>
  <r>
    <s v="Women 45-60"/>
    <s v="Brand Awareness"/>
    <s v="15 Days"/>
    <x v="0"/>
    <n v="0.05"/>
    <n v="1927.95"/>
    <n v="7.02"/>
    <n v="4729"/>
    <n v="15528"/>
    <n v="9"/>
    <s v="Home"/>
    <d v="2022-12-27T00:00:00"/>
    <s v="Nest Neat"/>
    <x v="7"/>
    <n v="2120.7449999999999"/>
    <n v="192.79499999999999"/>
    <n v="0.41"/>
  </r>
  <r>
    <s v="Women 18-24"/>
    <s v="Market Expansion"/>
    <s v="45 Days"/>
    <x v="1"/>
    <n v="0.13"/>
    <n v="7872.23"/>
    <n v="5.56"/>
    <n v="20561"/>
    <n v="62423"/>
    <n v="7"/>
    <s v="Food"/>
    <d v="2022-03-06T00:00:00"/>
    <s v="Epicurean Edge"/>
    <x v="11"/>
    <n v="8659.4529999999995"/>
    <n v="787.22299999999996"/>
    <n v="0.38"/>
  </r>
  <r>
    <s v="Men 45-60"/>
    <s v="Product Launch"/>
    <s v="30 Days"/>
    <x v="0"/>
    <n v="0.1"/>
    <n v="7214.7"/>
    <n v="4.76"/>
    <n v="18782"/>
    <n v="57154"/>
    <n v="10"/>
    <s v="Home"/>
    <d v="2022-11-24T00:00:00"/>
    <s v="Dwell Delight"/>
    <x v="3"/>
    <n v="7936.17"/>
    <n v="721.47"/>
    <n v="0.38"/>
  </r>
  <r>
    <s v="Women 18-24"/>
    <s v="Product Launch"/>
    <s v="45 Days"/>
    <x v="1"/>
    <n v="0.12"/>
    <n v="10687.52"/>
    <n v="3.1"/>
    <n v="28230"/>
    <n v="85139"/>
    <n v="2"/>
    <s v="Home"/>
    <d v="2022-03-24T00:00:00"/>
    <s v="Furnish Fine"/>
    <x v="11"/>
    <n v="11756.272000000001"/>
    <n v="1068.752"/>
    <n v="0.38"/>
  </r>
  <r>
    <s v="Men 35-44"/>
    <s v="Product Launch"/>
    <s v="60 Days"/>
    <x v="3"/>
    <n v="0.02"/>
    <n v="13256.89"/>
    <n v="0.47"/>
    <n v="35008"/>
    <n v="105215"/>
    <n v="9"/>
    <s v="Home"/>
    <d v="2022-06-03T00:00:00"/>
    <s v="Space Spruce"/>
    <x v="9"/>
    <n v="14582.579"/>
    <n v="1325.6890000000001"/>
    <n v="0.38"/>
  </r>
  <r>
    <s v="All Ages"/>
    <s v="Product Launch"/>
    <s v="30 Days"/>
    <x v="2"/>
    <n v="0.05"/>
    <n v="6462.78"/>
    <n v="1.1958191939529701"/>
    <n v="9834"/>
    <n v="33004"/>
    <n v="1"/>
    <s v="Technology"/>
    <d v="2022-04-14T00:00:00"/>
    <s v="NexGen Nerds"/>
    <x v="10"/>
    <n v="7109.058"/>
    <n v="646.27800000000002"/>
    <n v="0.66"/>
  </r>
  <r>
    <s v="Men 18-24"/>
    <s v="Product Launch"/>
    <s v="30 Days"/>
    <x v="1"/>
    <n v="0.09"/>
    <n v="5643.04"/>
    <n v="0.23"/>
    <n v="14526"/>
    <n v="44547"/>
    <n v="4"/>
    <s v="Home"/>
    <d v="2022-01-11T00:00:00"/>
    <s v="Domestic Dream"/>
    <x v="1"/>
    <n v="6207.3440000000001"/>
    <n v="564.30399999999997"/>
    <n v="0.39"/>
  </r>
  <r>
    <s v="All Ages"/>
    <s v="Brand Awareness"/>
    <s v="45 Days"/>
    <x v="1"/>
    <n v="0.13"/>
    <n v="10334.11"/>
    <n v="6.19"/>
    <n v="27258"/>
    <n v="82259"/>
    <n v="5"/>
    <s v="Food"/>
    <d v="2022-03-13T00:00:00"/>
    <s v="Savor Street"/>
    <x v="11"/>
    <n v="11367.521000000001"/>
    <n v="1033.4110000000001"/>
    <n v="0.38"/>
  </r>
  <r>
    <s v="Women 18-24"/>
    <s v="Market Expansion"/>
    <s v="30 Days"/>
    <x v="2"/>
    <n v="0.11"/>
    <n v="6239.38"/>
    <n v="0.61131564175174402"/>
    <n v="9480"/>
    <n v="31848"/>
    <n v="1"/>
    <s v="Food"/>
    <d v="2022-03-26T00:00:00"/>
    <s v="Dine Divine"/>
    <x v="11"/>
    <n v="6863.3180000000002"/>
    <n v="623.93800000000101"/>
    <n v="0.66"/>
  </r>
  <r>
    <s v="Men 45-60"/>
    <s v="Increase Sales"/>
    <s v="60 Days"/>
    <x v="1"/>
    <n v="0.11"/>
    <n v="15000"/>
    <n v="2.94"/>
    <n v="39291"/>
    <n v="117902"/>
    <n v="10"/>
    <s v="Health"/>
    <d v="2022-07-08T00:00:00"/>
    <s v="Fitness Front"/>
    <x v="0"/>
    <n v="16500"/>
    <n v="1500"/>
    <n v="0.38"/>
  </r>
  <r>
    <s v="All Ages"/>
    <s v="Market Expansion"/>
    <s v="60 Days"/>
    <x v="1"/>
    <n v="0.08"/>
    <n v="12965.75"/>
    <n v="7.99"/>
    <n v="34286"/>
    <n v="103077"/>
    <n v="9"/>
    <s v="Food"/>
    <d v="2022-10-06T00:00:00"/>
    <s v="Culinary Quest"/>
    <x v="5"/>
    <n v="14262.325000000001"/>
    <n v="1296.575"/>
    <n v="0.38"/>
  </r>
  <r>
    <s v="Women 35-44"/>
    <s v="Brand Awareness"/>
    <s v="45 Days"/>
    <x v="2"/>
    <n v="0.13"/>
    <n v="9894.83"/>
    <n v="0.57735366165442503"/>
    <n v="15312"/>
    <n v="50839"/>
    <n v="1"/>
    <s v="Food"/>
    <d v="2022-06-28T00:00:00"/>
    <s v="Palate Paradise"/>
    <x v="9"/>
    <n v="10884.313"/>
    <n v="989.48299999999995"/>
    <n v="0.65"/>
  </r>
  <r>
    <s v="Men 18-24"/>
    <s v="Brand Awareness"/>
    <s v="15 Days"/>
    <x v="0"/>
    <n v="0.15"/>
    <n v="4116.37"/>
    <n v="7.3"/>
    <n v="10361"/>
    <n v="32209"/>
    <n v="10"/>
    <s v="Food"/>
    <d v="2022-11-27T00:00:00"/>
    <s v="Bistro Bliss"/>
    <x v="3"/>
    <n v="4528.0069999999996"/>
    <n v="411.637"/>
    <n v="0.4"/>
  </r>
  <r>
    <s v="Men 45-60"/>
    <s v="Brand Awareness"/>
    <s v="45 Days"/>
    <x v="0"/>
    <n v="0.13"/>
    <n v="10249.66"/>
    <n v="0.39"/>
    <n v="27034"/>
    <n v="81595"/>
    <n v="2"/>
    <s v="Health"/>
    <d v="2022-11-06T00:00:00"/>
    <s v="Heal Hub"/>
    <x v="3"/>
    <n v="11274.626"/>
    <n v="1024.9659999999999"/>
    <n v="0.38"/>
  </r>
  <r>
    <s v="Men 45-60"/>
    <s v="Product Launch"/>
    <s v="45 Days"/>
    <x v="3"/>
    <n v="0.03"/>
    <n v="10842.07"/>
    <n v="1.34"/>
    <n v="28643"/>
    <n v="86360"/>
    <n v="4"/>
    <s v="Food"/>
    <d v="2022-11-09T00:00:00"/>
    <s v="Dine Divine"/>
    <x v="3"/>
    <n v="11926.277"/>
    <n v="1084.2070000000001"/>
    <n v="0.38"/>
  </r>
  <r>
    <s v="Women 35-44"/>
    <s v="Product Launch"/>
    <s v="60 Days"/>
    <x v="2"/>
    <n v="0.06"/>
    <n v="15000"/>
    <n v="1.22263128350348"/>
    <n v="23063"/>
    <n v="76079"/>
    <n v="1"/>
    <s v="Home"/>
    <d v="2022-04-06T00:00:00"/>
    <s v="Decor Dreams"/>
    <x v="10"/>
    <n v="16500"/>
    <n v="1500"/>
    <n v="0.65"/>
  </r>
  <r>
    <s v="All Ages"/>
    <s v="Market Expansion"/>
    <s v="45 Days"/>
    <x v="2"/>
    <n v="0.09"/>
    <n v="9202"/>
    <n v="1.0903583083876101"/>
    <n v="14198"/>
    <n v="47212"/>
    <n v="1"/>
    <s v="Fashion"/>
    <d v="2022-05-15T00:00:00"/>
    <s v="Vogue Visions"/>
    <x v="4"/>
    <n v="10122.200000000001"/>
    <n v="920.2"/>
    <n v="0.65"/>
  </r>
  <r>
    <s v="Men 35-44"/>
    <s v="Market Expansion"/>
    <s v="45 Days"/>
    <x v="2"/>
    <n v="0.1"/>
    <n v="9843.39"/>
    <n v="1.1511323780354401"/>
    <n v="15232"/>
    <n v="50581"/>
    <n v="1"/>
    <s v="Fashion"/>
    <d v="2022-02-04T00:00:00"/>
    <s v="Glam Garments"/>
    <x v="6"/>
    <n v="10827.728999999999"/>
    <n v="984.33899999999903"/>
    <n v="0.65"/>
  </r>
  <r>
    <s v="Women 45-60"/>
    <s v="Market Expansion"/>
    <s v="30 Days"/>
    <x v="1"/>
    <n v="0.1"/>
    <n v="7448.26"/>
    <n v="1.69"/>
    <n v="19397"/>
    <n v="58975"/>
    <n v="7"/>
    <s v="Technology"/>
    <d v="2022-09-11T00:00:00"/>
    <s v="Cyber Circuit"/>
    <x v="8"/>
    <n v="8193.0859999999993"/>
    <n v="744.82600000000002"/>
    <n v="0.38"/>
  </r>
  <r>
    <s v="Men 18-24"/>
    <s v="Product Launch"/>
    <s v="15 Days"/>
    <x v="2"/>
    <n v="0.14000000000000001"/>
    <n v="1603.67"/>
    <n v="0.99204731336905805"/>
    <n v="2359"/>
    <n v="8664"/>
    <n v="1"/>
    <s v="Health"/>
    <d v="2022-06-29T00:00:00"/>
    <s v="Vital Vigor"/>
    <x v="9"/>
    <n v="1764.037"/>
    <n v="160.36699999999999"/>
    <n v="0.68"/>
  </r>
  <r>
    <s v="Women 25-34"/>
    <s v="Increase Sales"/>
    <s v="30 Days"/>
    <x v="3"/>
    <n v="0.11"/>
    <n v="4999.97"/>
    <n v="5.41"/>
    <n v="12772"/>
    <n v="39351"/>
    <n v="2"/>
    <s v="Technology"/>
    <d v="2022-04-28T00:00:00"/>
    <s v="Code Crafters"/>
    <x v="10"/>
    <n v="5499.9669999999996"/>
    <n v="499.99700000000001"/>
    <n v="0.39"/>
  </r>
  <r>
    <s v="Women 25-34"/>
    <s v="Product Launch"/>
    <s v="15 Days"/>
    <x v="3"/>
    <n v="0.02"/>
    <n v="3463.8"/>
    <n v="1.54"/>
    <n v="8587"/>
    <n v="26956"/>
    <n v="10"/>
    <s v="Health"/>
    <d v="2022-08-21T00:00:00"/>
    <s v="Well Wish"/>
    <x v="2"/>
    <n v="3810.18"/>
    <n v="346.38"/>
    <n v="0.4"/>
  </r>
  <r>
    <s v="Women 25-34"/>
    <s v="Product Launch"/>
    <s v="60 Days"/>
    <x v="2"/>
    <n v="0.12"/>
    <n v="15000"/>
    <n v="1.0885708357509101"/>
    <n v="23383"/>
    <n v="77122"/>
    <n v="1"/>
    <s v="Fashion"/>
    <d v="2022-09-24T00:00:00"/>
    <s v="Style Sphere"/>
    <x v="8"/>
    <n v="16500"/>
    <n v="1500"/>
    <n v="0.64"/>
  </r>
  <r>
    <s v="Women 25-34"/>
    <s v="Increase Sales"/>
    <s v="45 Days"/>
    <x v="2"/>
    <n v="0.03"/>
    <n v="9368.5300000000007"/>
    <n v="1.3030675521550299"/>
    <n v="14455"/>
    <n v="48050"/>
    <n v="1"/>
    <s v="Health"/>
    <d v="2022-09-15T00:00:00"/>
    <s v="Fitness Front"/>
    <x v="8"/>
    <n v="10305.383"/>
    <n v="936.85300000000097"/>
    <n v="0.65"/>
  </r>
  <r>
    <s v="Men 18-24"/>
    <s v="Product Launch"/>
    <s v="30 Days"/>
    <x v="0"/>
    <n v="0.12"/>
    <n v="6318.16"/>
    <n v="2.2799999999999998"/>
    <n v="16361"/>
    <n v="49981"/>
    <n v="2"/>
    <s v="Home"/>
    <d v="2022-02-10T00:00:00"/>
    <s v="Domestic Dream"/>
    <x v="6"/>
    <n v="6949.9759999999997"/>
    <n v="631.81600000000003"/>
    <n v="0.39"/>
  </r>
  <r>
    <s v="Men 18-24"/>
    <s v="Brand Awareness"/>
    <s v="30 Days"/>
    <x v="0"/>
    <n v="0.13"/>
    <n v="6675.95"/>
    <n v="3.34"/>
    <n v="17311"/>
    <n v="52796"/>
    <n v="3"/>
    <s v="Food"/>
    <d v="2022-08-05T00:00:00"/>
    <s v="Bistro Bliss"/>
    <x v="2"/>
    <n v="7343.5450000000001"/>
    <n v="667.59500000000003"/>
    <n v="0.39"/>
  </r>
  <r>
    <s v="Men 18-24"/>
    <s v="Increase Sales"/>
    <s v="60 Days"/>
    <x v="2"/>
    <n v="0.11"/>
    <n v="13034.39"/>
    <n v="0.25024616913814002"/>
    <n v="20240"/>
    <n v="66887"/>
    <n v="1"/>
    <s v="Technology"/>
    <d v="2022-09-28T00:00:00"/>
    <s v="Cyber Circuit"/>
    <x v="8"/>
    <n v="14337.829"/>
    <n v="1303.4390000000001"/>
    <n v="0.64"/>
  </r>
  <r>
    <s v="All Ages"/>
    <s v="Product Launch"/>
    <s v="30 Days"/>
    <x v="3"/>
    <n v="0.09"/>
    <n v="4801.46"/>
    <n v="6.29"/>
    <n v="12229"/>
    <n v="37743"/>
    <n v="3"/>
    <s v="Fashion"/>
    <d v="2022-12-12T00:00:00"/>
    <s v="Fiber Fashion"/>
    <x v="7"/>
    <n v="5281.6059999999998"/>
    <n v="480.14600000000002"/>
    <n v="0.39"/>
  </r>
  <r>
    <s v="Women 25-34"/>
    <s v="Product Launch"/>
    <s v="30 Days"/>
    <x v="0"/>
    <n v="0.14000000000000001"/>
    <n v="5170.91"/>
    <n v="0.2"/>
    <n v="13250"/>
    <n v="40767"/>
    <n v="9"/>
    <s v="Technology"/>
    <d v="2022-01-01T00:00:00"/>
    <s v="Quantum Quirks"/>
    <x v="1"/>
    <n v="5688.0010000000002"/>
    <n v="517.09100000000001"/>
    <n v="0.39"/>
  </r>
  <r>
    <s v="All Ages"/>
    <s v="Market Expansion"/>
    <s v="45 Days"/>
    <x v="0"/>
    <n v="0.1"/>
    <n v="11074.83"/>
    <n v="7.0000000000000007E-2"/>
    <n v="29279"/>
    <n v="88245"/>
    <n v="2"/>
    <s v="Food"/>
    <d v="2022-02-16T00:00:00"/>
    <s v="Culinary Quest"/>
    <x v="6"/>
    <n v="12182.313"/>
    <n v="1107.4829999999999"/>
    <n v="0.38"/>
  </r>
  <r>
    <s v="Women 18-24"/>
    <s v="Brand Awareness"/>
    <s v="45 Days"/>
    <x v="3"/>
    <n v="0.13"/>
    <n v="8351.74"/>
    <n v="0.87"/>
    <n v="21877"/>
    <n v="66321"/>
    <n v="6"/>
    <s v="Health"/>
    <d v="2022-05-27T00:00:00"/>
    <s v="Fitness Front"/>
    <x v="4"/>
    <n v="9186.9140000000007"/>
    <n v="835.17399999999998"/>
    <n v="0.38"/>
  </r>
  <r>
    <s v="Men 45-60"/>
    <s v="Brand Awareness"/>
    <s v="60 Days"/>
    <x v="0"/>
    <n v="0.05"/>
    <n v="11768.78"/>
    <n v="7.85"/>
    <n v="31169"/>
    <n v="93842"/>
    <n v="7"/>
    <s v="Fashion"/>
    <d v="2022-10-01T00:00:00"/>
    <s v="Silk &amp; Style"/>
    <x v="5"/>
    <n v="12945.657999999999"/>
    <n v="1176.8779999999999"/>
    <n v="0.38"/>
  </r>
  <r>
    <s v="Women 25-34"/>
    <s v="Market Expansion"/>
    <s v="30 Days"/>
    <x v="1"/>
    <n v="0.1"/>
    <n v="5871.15"/>
    <n v="1.72"/>
    <n v="15147"/>
    <n v="46387"/>
    <n v="4"/>
    <s v="Health"/>
    <d v="2022-07-17T00:00:00"/>
    <s v="Pulse Point"/>
    <x v="0"/>
    <n v="6458.2650000000003"/>
    <n v="587.11500000000001"/>
    <n v="0.39"/>
  </r>
  <r>
    <s v="Women 45-60"/>
    <s v="Increase Sales"/>
    <s v="45 Days"/>
    <x v="0"/>
    <n v="0.13"/>
    <n v="7997.3"/>
    <n v="5.52"/>
    <n v="20905"/>
    <n v="63442"/>
    <n v="3"/>
    <s v="Food"/>
    <d v="2022-07-07T00:00:00"/>
    <s v="Dine Divine"/>
    <x v="0"/>
    <n v="8797.0300000000007"/>
    <n v="799.73"/>
    <n v="0.38"/>
  </r>
  <r>
    <s v="Women 25-34"/>
    <s v="Brand Awareness"/>
    <s v="15 Days"/>
    <x v="2"/>
    <n v="0.09"/>
    <n v="500"/>
    <n v="1.1725820496758601"/>
    <n v="774"/>
    <n v="3504"/>
    <n v="1"/>
    <s v="Home"/>
    <d v="2022-12-30T00:00:00"/>
    <s v="Cozy Corners"/>
    <x v="7"/>
    <n v="550"/>
    <n v="50"/>
    <n v="0.65"/>
  </r>
  <r>
    <s v="Women 35-44"/>
    <s v="Market Expansion"/>
    <s v="45 Days"/>
    <x v="2"/>
    <n v="7.0000000000000007E-2"/>
    <n v="10188.07"/>
    <n v="0.81866246760906003"/>
    <n v="15778"/>
    <n v="52356"/>
    <n v="1"/>
    <s v="Health"/>
    <d v="2022-10-24T00:00:00"/>
    <s v="Fitness Front"/>
    <x v="5"/>
    <n v="11206.877"/>
    <n v="1018.807"/>
    <n v="0.65"/>
  </r>
  <r>
    <s v="Men 18-24"/>
    <s v="Product Launch"/>
    <s v="45 Days"/>
    <x v="0"/>
    <n v="0.1"/>
    <n v="11144.29"/>
    <n v="6.87"/>
    <n v="29470"/>
    <n v="88811"/>
    <n v="6"/>
    <s v="Home"/>
    <d v="2022-07-21T00:00:00"/>
    <s v="Cozy Corners"/>
    <x v="0"/>
    <n v="12258.718999999999"/>
    <n v="1114.4290000000001"/>
    <n v="0.38"/>
  </r>
  <r>
    <s v="All Ages"/>
    <s v="Increase Sales"/>
    <s v="60 Days"/>
    <x v="3"/>
    <n v="0.06"/>
    <n v="12426.62"/>
    <n v="1.63"/>
    <n v="32895"/>
    <n v="98956"/>
    <n v="8"/>
    <s v="Fashion"/>
    <d v="2022-01-30T00:00:00"/>
    <s v="Attire Artistry"/>
    <x v="1"/>
    <n v="13669.281999999999"/>
    <n v="1242.662"/>
    <n v="0.38"/>
  </r>
  <r>
    <s v="Women 35-44"/>
    <s v="Increase Sales"/>
    <s v="15 Days"/>
    <x v="1"/>
    <n v="0.05"/>
    <n v="1696.02"/>
    <n v="3.99"/>
    <n v="4213"/>
    <n v="13998"/>
    <n v="10"/>
    <s v="Home"/>
    <d v="2022-07-18T00:00:00"/>
    <s v="Living Luxe"/>
    <x v="0"/>
    <n v="1865.6220000000001"/>
    <n v="169.602"/>
    <n v="0.4"/>
  </r>
  <r>
    <s v="Women 35-44"/>
    <s v="Increase Sales"/>
    <s v="60 Days"/>
    <x v="0"/>
    <n v="0.05"/>
    <n v="13567.09"/>
    <n v="5.87"/>
    <n v="35738"/>
    <n v="107376"/>
    <n v="9"/>
    <s v="Technology"/>
    <d v="2022-05-09T00:00:00"/>
    <s v="Tech Titans"/>
    <x v="4"/>
    <n v="14923.799000000001"/>
    <n v="1356.7090000000001"/>
    <n v="0.38"/>
  </r>
  <r>
    <s v="All Ages"/>
    <s v="Market Expansion"/>
    <s v="60 Days"/>
    <x v="2"/>
    <n v="0.03"/>
    <n v="13539.5"/>
    <n v="1.0885708357509101"/>
    <n v="20952"/>
    <n v="69205"/>
    <n v="1"/>
    <s v="Health"/>
    <d v="2022-09-15T00:00:00"/>
    <s v="Fitness Front"/>
    <x v="8"/>
    <n v="14893.45"/>
    <n v="1353.95"/>
    <n v="0.65"/>
  </r>
  <r>
    <s v="Men 25-34"/>
    <s v="Market Expansion"/>
    <s v="60 Days"/>
    <x v="1"/>
    <n v="0.05"/>
    <n v="12178.1"/>
    <n v="5.08"/>
    <n v="32241"/>
    <n v="97019"/>
    <n v="7"/>
    <s v="Home"/>
    <d v="2022-07-03T00:00:00"/>
    <s v="Decor Dreams"/>
    <x v="0"/>
    <n v="13395.91"/>
    <n v="1217.81"/>
    <n v="0.38"/>
  </r>
  <r>
    <s v="Men 35-44"/>
    <s v="Increase Sales"/>
    <s v="15 Days"/>
    <x v="2"/>
    <n v="0.04"/>
    <n v="1007.46"/>
    <n v="0.24309627859133601"/>
    <n v="1688"/>
    <n v="6480"/>
    <n v="1"/>
    <s v="Fashion"/>
    <d v="2022-11-13T00:00:00"/>
    <s v="Style Sphere"/>
    <x v="3"/>
    <n v="1108.2059999999999"/>
    <n v="100.746"/>
    <n v="0.6"/>
  </r>
  <r>
    <s v="Men 45-60"/>
    <s v="Market Expansion"/>
    <s v="60 Days"/>
    <x v="0"/>
    <n v="0.05"/>
    <n v="12867.71"/>
    <n v="0.92"/>
    <n v="34043"/>
    <n v="102357"/>
    <n v="2"/>
    <s v="Fashion"/>
    <d v="2022-01-11T00:00:00"/>
    <s v="Attire Artistry"/>
    <x v="1"/>
    <n v="14154.481"/>
    <n v="1286.771"/>
    <n v="0.38"/>
  </r>
  <r>
    <s v="Women 35-44"/>
    <s v="Market Expansion"/>
    <s v="15 Days"/>
    <x v="3"/>
    <n v="0.15"/>
    <n v="500"/>
    <n v="1.1499999999999999"/>
    <n v="552"/>
    <n v="3156"/>
    <n v="8"/>
    <s v="Home"/>
    <d v="2022-04-18T00:00:00"/>
    <s v="Hearth Harmony"/>
    <x v="10"/>
    <n v="550"/>
    <n v="50"/>
    <n v="0.91"/>
  </r>
  <r>
    <s v="Men 25-34"/>
    <s v="Market Expansion"/>
    <s v="30 Days"/>
    <x v="2"/>
    <n v="0.15"/>
    <n v="6236"/>
    <n v="1.0689086367472"/>
    <n v="9474"/>
    <n v="31832"/>
    <n v="1"/>
    <s v="Home"/>
    <d v="2022-02-26T00:00:00"/>
    <s v="Hearth Harmony"/>
    <x v="6"/>
    <n v="6859.6"/>
    <n v="623.6"/>
    <n v="0.66"/>
  </r>
  <r>
    <s v="Women 45-60"/>
    <s v="Product Launch"/>
    <s v="15 Days"/>
    <x v="2"/>
    <n v="0.03"/>
    <n v="2431.5700000000002"/>
    <n v="1.3084299700651301"/>
    <n v="3489"/>
    <n v="12342"/>
    <n v="1"/>
    <s v="Health"/>
    <d v="2022-04-15T00:00:00"/>
    <s v="Aura Align"/>
    <x v="10"/>
    <n v="2674.7269999999999"/>
    <n v="243.15700000000001"/>
    <n v="0.7"/>
  </r>
  <r>
    <s v="Men 18-24"/>
    <s v="Market Expansion"/>
    <s v="45 Days"/>
    <x v="0"/>
    <n v="0.13"/>
    <n v="10891.73"/>
    <n v="6.78"/>
    <n v="28779"/>
    <n v="86764"/>
    <n v="5"/>
    <s v="Technology"/>
    <d v="2022-02-09T00:00:00"/>
    <s v="Cyber Circuit"/>
    <x v="6"/>
    <n v="11980.903"/>
    <n v="1089.173"/>
    <n v="0.38"/>
  </r>
  <r>
    <s v="Women 45-60"/>
    <s v="Market Expansion"/>
    <s v="30 Days"/>
    <x v="0"/>
    <n v="0.12"/>
    <n v="7671.23"/>
    <n v="5.92"/>
    <n v="20010"/>
    <n v="60790"/>
    <n v="6"/>
    <s v="Food"/>
    <d v="2022-07-24T00:00:00"/>
    <s v="Bistro Bliss"/>
    <x v="0"/>
    <n v="8438.3529999999992"/>
    <n v="767.12300000000096"/>
    <n v="0.38"/>
  </r>
  <r>
    <s v="Men 35-44"/>
    <s v="Product Launch"/>
    <s v="15 Days"/>
    <x v="1"/>
    <n v="0.04"/>
    <n v="3965.37"/>
    <n v="1.01"/>
    <n v="9943"/>
    <n v="30970"/>
    <n v="4"/>
    <s v="Food"/>
    <d v="2022-02-14T00:00:00"/>
    <s v="Dine Divine"/>
    <x v="6"/>
    <n v="4361.9070000000002"/>
    <n v="396.53699999999998"/>
    <n v="0.4"/>
  </r>
  <r>
    <s v="Men 45-60"/>
    <s v="Market Expansion"/>
    <s v="45 Days"/>
    <x v="2"/>
    <n v="0.05"/>
    <n v="8664.84"/>
    <n v="0.64170267657566105"/>
    <n v="13350"/>
    <n v="44451"/>
    <n v="1"/>
    <s v="Food"/>
    <d v="2022-08-09T00:00:00"/>
    <s v="Palate Paradise"/>
    <x v="2"/>
    <n v="9531.3240000000005"/>
    <n v="866.48400000000004"/>
    <n v="0.65"/>
  </r>
  <r>
    <s v="Men 45-60"/>
    <s v="Product Launch"/>
    <s v="15 Days"/>
    <x v="2"/>
    <n v="0.04"/>
    <n v="1376.49"/>
    <n v="1.0814209452040999"/>
    <n v="2090"/>
    <n v="7789"/>
    <n v="1"/>
    <s v="Fashion"/>
    <d v="2022-10-23T00:00:00"/>
    <s v="Runway Rebels"/>
    <x v="5"/>
    <n v="1514.1389999999999"/>
    <n v="137.649"/>
    <n v="0.66"/>
  </r>
  <r>
    <s v="Women 18-24"/>
    <s v="Product Launch"/>
    <s v="60 Days"/>
    <x v="3"/>
    <n v="0.08"/>
    <n v="14176.89"/>
    <n v="5.61"/>
    <n v="37035"/>
    <n v="111219"/>
    <n v="9"/>
    <s v="Food"/>
    <d v="2022-05-26T00:00:00"/>
    <s v="Nosh Nirvana"/>
    <x v="4"/>
    <n v="15594.579"/>
    <n v="1417.6890000000001"/>
    <n v="0.38"/>
  </r>
  <r>
    <s v="Men 45-60"/>
    <s v="Increase Sales"/>
    <s v="30 Days"/>
    <x v="1"/>
    <n v="0.03"/>
    <n v="4502.5600000000004"/>
    <n v="3.64"/>
    <n v="11415"/>
    <n v="35332"/>
    <n v="7"/>
    <s v="Food"/>
    <d v="2022-10-17T00:00:00"/>
    <s v="Culinary Quest"/>
    <x v="5"/>
    <n v="4952.8159999999998"/>
    <n v="450.25599999999997"/>
    <n v="0.39"/>
  </r>
  <r>
    <s v="Women 18-24"/>
    <s v="Market Expansion"/>
    <s v="15 Days"/>
    <x v="2"/>
    <n v="0.06"/>
    <n v="2903.33"/>
    <n v="0.72392641786390699"/>
    <n v="4183"/>
    <n v="14603"/>
    <n v="1"/>
    <s v="Food"/>
    <d v="2022-03-24T00:00:00"/>
    <s v="Palate Paradise"/>
    <x v="11"/>
    <n v="3193.663"/>
    <n v="290.33300000000003"/>
    <n v="0.69"/>
  </r>
  <r>
    <s v="Women 18-24"/>
    <s v="Brand Awareness"/>
    <s v="60 Days"/>
    <x v="0"/>
    <n v="0.11"/>
    <n v="13222.56"/>
    <n v="6.89"/>
    <n v="34926"/>
    <n v="104973"/>
    <n v="4"/>
    <s v="Technology"/>
    <d v="2022-01-19T00:00:00"/>
    <s v="Innovate Infinity"/>
    <x v="1"/>
    <n v="14544.816000000001"/>
    <n v="1322.2560000000001"/>
    <n v="0.38"/>
  </r>
  <r>
    <s v="Women 18-24"/>
    <s v="Product Launch"/>
    <s v="15 Days"/>
    <x v="3"/>
    <n v="0.11"/>
    <n v="1733.34"/>
    <n v="0.46"/>
    <n v="4291"/>
    <n v="14229"/>
    <n v="4"/>
    <s v="Health"/>
    <d v="2022-03-01T00:00:00"/>
    <s v="Fitness Front"/>
    <x v="11"/>
    <n v="1906.674"/>
    <n v="173.334"/>
    <n v="0.4"/>
  </r>
  <r>
    <s v="Men 18-24"/>
    <s v="Brand Awareness"/>
    <s v="15 Days"/>
    <x v="1"/>
    <n v="0.14000000000000001"/>
    <n v="1239.4100000000001"/>
    <n v="5.74"/>
    <n v="3296"/>
    <n v="11283"/>
    <n v="1"/>
    <s v="Food"/>
    <d v="2022-09-12T00:00:00"/>
    <s v="Nosh Nirvana"/>
    <x v="8"/>
    <n v="1363.3510000000001"/>
    <n v="123.941"/>
    <n v="0.38"/>
  </r>
  <r>
    <s v="Men 35-44"/>
    <s v="Market Expansion"/>
    <s v="15 Days"/>
    <x v="2"/>
    <n v="0.12"/>
    <n v="500"/>
    <n v="0.65957740294267098"/>
    <n v="649"/>
    <n v="3096"/>
    <n v="1"/>
    <s v="Fashion"/>
    <d v="2022-04-23T00:00:00"/>
    <s v="Trend Tailors"/>
    <x v="10"/>
    <n v="550"/>
    <n v="50"/>
    <n v="0.77"/>
  </r>
  <r>
    <s v="Women 45-60"/>
    <s v="Increase Sales"/>
    <s v="45 Days"/>
    <x v="2"/>
    <n v="0.04"/>
    <n v="9856.58"/>
    <n v="0.46474288554226101"/>
    <n v="15254"/>
    <n v="50650"/>
    <n v="1"/>
    <s v="Technology"/>
    <d v="2022-08-29T00:00:00"/>
    <s v="NexGen Nerds"/>
    <x v="2"/>
    <n v="10842.237999999999"/>
    <n v="985.65800000000104"/>
    <n v="0.65"/>
  </r>
  <r>
    <s v="Men 25-34"/>
    <s v="Brand Awareness"/>
    <s v="45 Days"/>
    <x v="3"/>
    <n v="0.14000000000000001"/>
    <n v="8539.42"/>
    <n v="7.79"/>
    <n v="22396"/>
    <n v="67857"/>
    <n v="10"/>
    <s v="Technology"/>
    <d v="2022-02-17T00:00:00"/>
    <s v="Tech Titans"/>
    <x v="6"/>
    <n v="9393.3619999999992"/>
    <n v="853.94200000000001"/>
    <n v="0.38"/>
  </r>
  <r>
    <s v="Women 25-34"/>
    <s v="Product Launch"/>
    <s v="15 Days"/>
    <x v="2"/>
    <n v="0.11"/>
    <n v="2280.39"/>
    <n v="0.34140727360989198"/>
    <n v="3274"/>
    <n v="11646"/>
    <n v="1"/>
    <s v="Fashion"/>
    <d v="2022-12-12T00:00:00"/>
    <s v="Glam Garments"/>
    <x v="7"/>
    <n v="2508.4290000000001"/>
    <n v="228.03899999999999"/>
    <n v="0.7"/>
  </r>
  <r>
    <s v="Men 45-60"/>
    <s v="Market Expansion"/>
    <s v="45 Days"/>
    <x v="0"/>
    <n v="0.14000000000000001"/>
    <n v="10865.92"/>
    <n v="3.67"/>
    <n v="28710"/>
    <n v="86559"/>
    <n v="1"/>
    <s v="Health"/>
    <d v="2022-08-04T00:00:00"/>
    <s v="Aura Align"/>
    <x v="2"/>
    <n v="11952.512000000001"/>
    <n v="1086.5920000000001"/>
    <n v="0.38"/>
  </r>
  <r>
    <s v="Men 45-60"/>
    <s v="Brand Awareness"/>
    <s v="15 Days"/>
    <x v="0"/>
    <n v="0.06"/>
    <n v="1704.09"/>
    <n v="7.13"/>
    <n v="4230"/>
    <n v="14048"/>
    <n v="10"/>
    <s v="Home"/>
    <d v="2022-09-04T00:00:00"/>
    <s v="Cozy Corners"/>
    <x v="8"/>
    <n v="1874.499"/>
    <n v="170.40899999999999"/>
    <n v="0.4"/>
  </r>
  <r>
    <s v="Men 45-60"/>
    <s v="Product Launch"/>
    <s v="15 Days"/>
    <x v="0"/>
    <n v="0.06"/>
    <n v="533.29999999999995"/>
    <n v="2.2999999999999998"/>
    <n v="2131"/>
    <n v="7832"/>
    <n v="8"/>
    <s v="Food"/>
    <d v="2022-12-26T00:00:00"/>
    <s v="Savor Street"/>
    <x v="7"/>
    <n v="586.63"/>
    <n v="53.33"/>
    <n v="0.25"/>
  </r>
  <r>
    <s v="Men 35-44"/>
    <s v="Increase Sales"/>
    <s v="15 Days"/>
    <x v="3"/>
    <n v="0.09"/>
    <n v="500"/>
    <n v="4.67"/>
    <n v="1928"/>
    <n v="7230"/>
    <n v="2"/>
    <s v="Home"/>
    <d v="2022-11-19T00:00:00"/>
    <s v="Decor Dreams"/>
    <x v="3"/>
    <n v="550"/>
    <n v="50"/>
    <n v="0.26"/>
  </r>
  <r>
    <s v="Women 18-24"/>
    <s v="Market Expansion"/>
    <s v="15 Days"/>
    <x v="0"/>
    <n v="0.04"/>
    <n v="515.98"/>
    <n v="1.44"/>
    <n v="2107"/>
    <n v="7761"/>
    <n v="3"/>
    <s v="Home"/>
    <d v="2022-07-11T00:00:00"/>
    <s v="Domestic Dream"/>
    <x v="0"/>
    <n v="567.57799999999997"/>
    <n v="51.597999999999999"/>
    <n v="0.24"/>
  </r>
  <r>
    <s v="Women 35-44"/>
    <s v="Product Launch"/>
    <s v="45 Days"/>
    <x v="2"/>
    <n v="0.14000000000000001"/>
    <n v="10673.67"/>
    <n v="1.31557986061194"/>
    <n v="16557"/>
    <n v="54895"/>
    <n v="1"/>
    <s v="Food"/>
    <d v="2022-06-09T00:00:00"/>
    <s v="Bistro Bliss"/>
    <x v="9"/>
    <n v="11741.037"/>
    <n v="1067.367"/>
    <n v="0.64"/>
  </r>
  <r>
    <s v="Women 18-24"/>
    <s v="Increase Sales"/>
    <s v="60 Days"/>
    <x v="2"/>
    <n v="0.15"/>
    <n v="13231.46"/>
    <n v="0.45223057708535402"/>
    <n v="20525"/>
    <n v="67813"/>
    <n v="1"/>
    <s v="Technology"/>
    <d v="2022-02-22T00:00:00"/>
    <s v="NexGen Nerds"/>
    <x v="6"/>
    <n v="14554.606"/>
    <n v="1323.146"/>
    <n v="0.64"/>
  </r>
  <r>
    <s v="Men 35-44"/>
    <s v="Increase Sales"/>
    <s v="45 Days"/>
    <x v="1"/>
    <n v="0.09"/>
    <n v="8596.4"/>
    <n v="1.42"/>
    <n v="22551"/>
    <n v="68317"/>
    <n v="1"/>
    <s v="Technology"/>
    <d v="2022-03-19T00:00:00"/>
    <s v="Code Crafters"/>
    <x v="11"/>
    <n v="9456.0400000000009"/>
    <n v="859.64000000000101"/>
    <n v="0.38"/>
  </r>
  <r>
    <s v="Women 25-34"/>
    <s v="Brand Awareness"/>
    <s v="30 Days"/>
    <x v="3"/>
    <n v="0.04"/>
    <n v="5104.7700000000004"/>
    <n v="2.88"/>
    <n v="13061"/>
    <n v="40206"/>
    <n v="6"/>
    <s v="Fashion"/>
    <d v="2022-12-01T00:00:00"/>
    <s v="Style Sphere"/>
    <x v="7"/>
    <n v="5615.2470000000003"/>
    <n v="510.47699999999998"/>
    <n v="0.39"/>
  </r>
  <r>
    <s v="Men 18-24"/>
    <s v="Increase Sales"/>
    <s v="15 Days"/>
    <x v="0"/>
    <n v="0.09"/>
    <n v="2287.3000000000002"/>
    <n v="5.16"/>
    <n v="5593"/>
    <n v="18086"/>
    <n v="6"/>
    <s v="Technology"/>
    <d v="2022-03-10T00:00:00"/>
    <s v="Giga Geeks"/>
    <x v="11"/>
    <n v="2516.0300000000002"/>
    <n v="228.73"/>
    <n v="0.41"/>
  </r>
  <r>
    <s v="Men 18-24"/>
    <s v="Market Expansion"/>
    <s v="45 Days"/>
    <x v="3"/>
    <n v="0.1"/>
    <n v="9752.89"/>
    <n v="4.46"/>
    <n v="25685"/>
    <n v="77599"/>
    <n v="1"/>
    <s v="Fashion"/>
    <d v="2022-10-14T00:00:00"/>
    <s v="Mode Maven"/>
    <x v="5"/>
    <n v="10728.179"/>
    <n v="975.28899999999999"/>
    <n v="0.38"/>
  </r>
  <r>
    <s v="Women 18-24"/>
    <s v="Brand Awareness"/>
    <s v="15 Days"/>
    <x v="0"/>
    <n v="0.06"/>
    <n v="1154.67"/>
    <n v="0.02"/>
    <n v="3142"/>
    <n v="10828"/>
    <n v="10"/>
    <s v="Home"/>
    <d v="2022-03-10T00:00:00"/>
    <s v="Decor Dreams"/>
    <x v="11"/>
    <n v="1270.1369999999999"/>
    <n v="115.467"/>
    <n v="0.37"/>
  </r>
  <r>
    <s v="Men 18-24"/>
    <s v="Market Expansion"/>
    <s v="45 Days"/>
    <x v="1"/>
    <n v="0.11"/>
    <n v="8179.88"/>
    <n v="6.18"/>
    <n v="21409"/>
    <n v="64935"/>
    <n v="1"/>
    <s v="Food"/>
    <d v="2022-04-07T00:00:00"/>
    <s v="Palate Paradise"/>
    <x v="10"/>
    <n v="8997.8680000000004"/>
    <n v="817.98800000000006"/>
    <n v="0.38"/>
  </r>
  <r>
    <s v="Women 18-24"/>
    <s v="Market Expansion"/>
    <s v="60 Days"/>
    <x v="0"/>
    <n v="0.14000000000000001"/>
    <n v="12449.21"/>
    <n v="2.64"/>
    <n v="32955"/>
    <n v="99132"/>
    <n v="3"/>
    <s v="Fashion"/>
    <d v="2022-05-21T00:00:00"/>
    <s v="Silk &amp; Style"/>
    <x v="4"/>
    <n v="13694.130999999999"/>
    <n v="1244.921"/>
    <n v="0.38"/>
  </r>
  <r>
    <s v="Men 18-24"/>
    <s v="Market Expansion"/>
    <s v="45 Days"/>
    <x v="0"/>
    <n v="0.13"/>
    <n v="7896.08"/>
    <n v="5.12"/>
    <n v="20626"/>
    <n v="62615"/>
    <n v="3"/>
    <s v="Technology"/>
    <d v="2022-08-22T00:00:00"/>
    <s v="Silicon Saga"/>
    <x v="2"/>
    <n v="8685.6880000000001"/>
    <n v="789.60799999999995"/>
    <n v="0.38"/>
  </r>
  <r>
    <s v="Women 35-44"/>
    <s v="Product Launch"/>
    <s v="30 Days"/>
    <x v="2"/>
    <n v="0.14000000000000001"/>
    <n v="7148.57"/>
    <n v="0.65957740294267098"/>
    <n v="10924"/>
    <n v="36551"/>
    <n v="1"/>
    <s v="Food"/>
    <d v="2022-07-02T00:00:00"/>
    <s v="Culinary Quest"/>
    <x v="0"/>
    <n v="7863.4269999999997"/>
    <n v="714.85699999999997"/>
    <n v="0.65"/>
  </r>
  <r>
    <s v="Men 18-24"/>
    <s v="Brand Awareness"/>
    <s v="15 Days"/>
    <x v="1"/>
    <n v="0.05"/>
    <n v="500"/>
    <n v="1.45"/>
    <n v="602"/>
    <n v="3303"/>
    <n v="10"/>
    <s v="Technology"/>
    <d v="2022-02-14T00:00:00"/>
    <s v="Gadget Giants"/>
    <x v="6"/>
    <n v="550"/>
    <n v="50"/>
    <n v="0.83"/>
  </r>
  <r>
    <s v="All Ages"/>
    <s v="Brand Awareness"/>
    <s v="60 Days"/>
    <x v="3"/>
    <n v="0.03"/>
    <n v="11520.36"/>
    <n v="6.26"/>
    <n v="30497"/>
    <n v="91853"/>
    <n v="7"/>
    <s v="Food"/>
    <d v="2022-09-24T00:00:00"/>
    <s v="Gourmet Grove"/>
    <x v="8"/>
    <n v="12672.396000000001"/>
    <n v="1152.0360000000001"/>
    <n v="0.38"/>
  </r>
  <r>
    <s v="All Ages"/>
    <s v="Product Launch"/>
    <s v="45 Days"/>
    <x v="0"/>
    <n v="0.06"/>
    <n v="7759.42"/>
    <n v="6.9"/>
    <n v="20261"/>
    <n v="61535"/>
    <n v="8"/>
    <s v="Technology"/>
    <d v="2022-04-29T00:00:00"/>
    <s v="Tech Titans"/>
    <x v="10"/>
    <n v="8535.3619999999992"/>
    <n v="775.94200000000001"/>
    <n v="0.38"/>
  </r>
  <r>
    <s v="Men 18-24"/>
    <s v="Brand Awareness"/>
    <s v="45 Days"/>
    <x v="3"/>
    <n v="0.09"/>
    <n v="7832.68"/>
    <n v="3.82"/>
    <n v="20455"/>
    <n v="62110"/>
    <n v="6"/>
    <s v="Home"/>
    <d v="2022-11-05T00:00:00"/>
    <s v="Dwell Delight"/>
    <x v="3"/>
    <n v="8615.9480000000003"/>
    <n v="783.26800000000003"/>
    <n v="0.38"/>
  </r>
  <r>
    <s v="Women 18-24"/>
    <s v="Product Launch"/>
    <s v="15 Days"/>
    <x v="1"/>
    <n v="0.14000000000000001"/>
    <n v="1193.49"/>
    <n v="4.53"/>
    <n v="3213"/>
    <n v="11038"/>
    <n v="5"/>
    <s v="Fashion"/>
    <d v="2022-01-19T00:00:00"/>
    <s v="Runway Rebels"/>
    <x v="1"/>
    <n v="1312.8389999999999"/>
    <n v="119.349"/>
    <n v="0.37"/>
  </r>
  <r>
    <s v="All Ages"/>
    <s v="Market Expansion"/>
    <s v="45 Days"/>
    <x v="0"/>
    <n v="0.14000000000000001"/>
    <n v="8399.9500000000007"/>
    <n v="4.74"/>
    <n v="22013"/>
    <n v="66723"/>
    <n v="3"/>
    <s v="Fashion"/>
    <d v="2022-10-04T00:00:00"/>
    <s v="Chic Couture"/>
    <x v="5"/>
    <n v="9239.9449999999997"/>
    <n v="839.995"/>
    <n v="0.38"/>
  </r>
  <r>
    <s v="All Ages"/>
    <s v="Market Expansion"/>
    <s v="60 Days"/>
    <x v="1"/>
    <n v="7.0000000000000007E-2"/>
    <n v="12203.67"/>
    <n v="7.57"/>
    <n v="32311"/>
    <n v="97226"/>
    <n v="3"/>
    <s v="Food"/>
    <d v="2022-08-10T00:00:00"/>
    <s v="Bistro Bliss"/>
    <x v="2"/>
    <n v="13424.037"/>
    <n v="1220.367"/>
    <n v="0.38"/>
  </r>
  <r>
    <s v="All Ages"/>
    <s v="Market Expansion"/>
    <s v="30 Days"/>
    <x v="3"/>
    <n v="0.15"/>
    <n v="4698.3999999999996"/>
    <n v="5.9"/>
    <n v="11953"/>
    <n v="36925"/>
    <n v="10"/>
    <s v="Food"/>
    <d v="2022-02-20T00:00:00"/>
    <s v="Dine Divine"/>
    <x v="6"/>
    <n v="5168.24"/>
    <n v="469.84"/>
    <n v="0.39"/>
  </r>
  <r>
    <s v="Women 25-34"/>
    <s v="Increase Sales"/>
    <s v="60 Days"/>
    <x v="2"/>
    <n v="0.02"/>
    <n v="12228.92"/>
    <n v="0.689964437766588"/>
    <n v="19017"/>
    <n v="62903"/>
    <n v="1"/>
    <s v="Technology"/>
    <d v="2022-02-24T00:00:00"/>
    <s v="Silicon Saga"/>
    <x v="6"/>
    <n v="13451.812"/>
    <n v="1222.8920000000001"/>
    <n v="0.64"/>
  </r>
  <r>
    <s v="Men 25-34"/>
    <s v="Increase Sales"/>
    <s v="45 Days"/>
    <x v="2"/>
    <n v="0.09"/>
    <n v="10455.870000000001"/>
    <n v="1.1100205073913201"/>
    <n v="16206"/>
    <n v="53751"/>
    <n v="1"/>
    <s v="Fashion"/>
    <d v="2022-08-13T00:00:00"/>
    <s v="Runway Rebels"/>
    <x v="2"/>
    <n v="11501.457"/>
    <n v="1045.587"/>
    <n v="0.65"/>
  </r>
  <r>
    <s v="Men 25-34"/>
    <s v="Brand Awareness"/>
    <s v="30 Days"/>
    <x v="1"/>
    <n v="7.0000000000000007E-2"/>
    <n v="4559.88"/>
    <n v="0.94"/>
    <n v="11572"/>
    <n v="35797"/>
    <n v="4"/>
    <s v="Technology"/>
    <d v="2022-09-09T00:00:00"/>
    <s v="Quantum Quirks"/>
    <x v="8"/>
    <n v="5015.8680000000004"/>
    <n v="455.988"/>
    <n v="0.39"/>
  </r>
  <r>
    <s v="Women 35-44"/>
    <s v="Market Expansion"/>
    <s v="45 Days"/>
    <x v="3"/>
    <n v="0.15"/>
    <n v="8998.7800000000007"/>
    <n v="6.37"/>
    <n v="23624"/>
    <n v="71495"/>
    <n v="4"/>
    <s v="Home"/>
    <d v="2022-07-07T00:00:00"/>
    <s v="Furnish Fine"/>
    <x v="0"/>
    <n v="9898.6579999999994"/>
    <n v="899.87800000000004"/>
    <n v="0.38"/>
  </r>
  <r>
    <s v="All Ages"/>
    <s v="Brand Awareness"/>
    <s v="15 Days"/>
    <x v="3"/>
    <n v="0.14000000000000001"/>
    <n v="2383.5500000000002"/>
    <n v="3.62"/>
    <n v="5827"/>
    <n v="18779"/>
    <n v="1"/>
    <s v="Food"/>
    <d v="2022-03-24T00:00:00"/>
    <s v="Palate Paradise"/>
    <x v="11"/>
    <n v="2621.9050000000002"/>
    <n v="238.35499999999999"/>
    <n v="0.41"/>
  </r>
  <r>
    <s v="Women 45-60"/>
    <s v="Product Launch"/>
    <s v="60 Days"/>
    <x v="1"/>
    <n v="0.09"/>
    <n v="14003.58"/>
    <n v="4.21"/>
    <n v="36676"/>
    <n v="110155"/>
    <n v="6"/>
    <s v="Technology"/>
    <d v="2022-11-26T00:00:00"/>
    <s v="Cyber Circuit"/>
    <x v="3"/>
    <n v="15403.938"/>
    <n v="1400.3579999999999"/>
    <n v="0.38"/>
  </r>
  <r>
    <s v="Men 18-24"/>
    <s v="Product Launch"/>
    <s v="60 Days"/>
    <x v="3"/>
    <n v="0.04"/>
    <n v="14007.14"/>
    <n v="0.32"/>
    <n v="36683"/>
    <n v="110176"/>
    <n v="1"/>
    <s v="Health"/>
    <d v="2022-10-04T00:00:00"/>
    <s v="Pulse Point"/>
    <x v="5"/>
    <n v="15407.853999999999"/>
    <n v="1400.7139999999999"/>
    <n v="0.38"/>
  </r>
  <r>
    <s v="Women 18-24"/>
    <s v="Brand Awareness"/>
    <s v="45 Days"/>
    <x v="0"/>
    <n v="0.1"/>
    <n v="8342.35"/>
    <n v="3.04"/>
    <n v="21855"/>
    <n v="66254"/>
    <n v="1"/>
    <s v="Health"/>
    <d v="2022-12-10T00:00:00"/>
    <s v="Fitness Front"/>
    <x v="7"/>
    <n v="9176.5849999999991"/>
    <n v="834.23500000000001"/>
    <n v="0.38"/>
  </r>
  <r>
    <s v="Women 25-34"/>
    <s v="Product Launch"/>
    <s v="45 Days"/>
    <x v="0"/>
    <n v="0.03"/>
    <n v="11371.01"/>
    <n v="2.0499999999999998"/>
    <n v="30087"/>
    <n v="90639"/>
    <n v="3"/>
    <s v="Technology"/>
    <d v="2022-03-05T00:00:00"/>
    <s v="Gadget Giants"/>
    <x v="11"/>
    <n v="12508.111000000001"/>
    <n v="1137.1010000000001"/>
    <n v="0.38"/>
  </r>
  <r>
    <s v="Men 35-44"/>
    <s v="Market Expansion"/>
    <s v="30 Days"/>
    <x v="3"/>
    <n v="0.04"/>
    <n v="6444.74"/>
    <n v="4.03"/>
    <n v="16694"/>
    <n v="50968"/>
    <n v="5"/>
    <s v="Home"/>
    <d v="2022-07-12T00:00:00"/>
    <s v="Domestic Dream"/>
    <x v="0"/>
    <n v="7089.2139999999999"/>
    <n v="644.47400000000005"/>
    <n v="0.39"/>
  </r>
  <r>
    <s v="Men 35-44"/>
    <s v="Brand Awareness"/>
    <s v="45 Days"/>
    <x v="2"/>
    <n v="0.05"/>
    <n v="10596.75"/>
    <n v="0.200196935310512"/>
    <n v="16430"/>
    <n v="54481"/>
    <n v="1"/>
    <s v="Food"/>
    <d v="2022-06-15T00:00:00"/>
    <s v="Culinary Quest"/>
    <x v="9"/>
    <n v="11656.424999999999"/>
    <n v="1059.675"/>
    <n v="0.64"/>
  </r>
  <r>
    <s v="Men 18-24"/>
    <s v="Market Expansion"/>
    <s v="15 Days"/>
    <x v="3"/>
    <n v="0.13"/>
    <n v="1274.8800000000001"/>
    <n v="1.04"/>
    <n v="3362"/>
    <n v="11478"/>
    <n v="9"/>
    <s v="Health"/>
    <d v="2022-09-28T00:00:00"/>
    <s v="Pulse Point"/>
    <x v="8"/>
    <n v="1402.3679999999999"/>
    <n v="127.488"/>
    <n v="0.38"/>
  </r>
  <r>
    <s v="Women 35-44"/>
    <s v="Product Launch"/>
    <s v="45 Days"/>
    <x v="3"/>
    <n v="0.1"/>
    <n v="8532.5"/>
    <n v="1.1299999999999999"/>
    <n v="22377"/>
    <n v="67801"/>
    <n v="10"/>
    <s v="Home"/>
    <d v="2022-05-29T00:00:00"/>
    <s v="Furnish Fine"/>
    <x v="4"/>
    <n v="9385.75"/>
    <n v="853.25"/>
    <n v="0.38"/>
  </r>
  <r>
    <s v="Women 35-44"/>
    <s v="Brand Awareness"/>
    <s v="45 Days"/>
    <x v="1"/>
    <n v="0.08"/>
    <n v="9634.9699999999993"/>
    <n v="7.5"/>
    <n v="25357"/>
    <n v="76629"/>
    <n v="10"/>
    <s v="Food"/>
    <d v="2022-02-19T00:00:00"/>
    <s v="Palate Paradise"/>
    <x v="6"/>
    <n v="10598.467000000001"/>
    <n v="963.49700000000098"/>
    <n v="0.38"/>
  </r>
  <r>
    <s v="Men 25-34"/>
    <s v="Increase Sales"/>
    <s v="15 Days"/>
    <x v="2"/>
    <n v="0.08"/>
    <n v="3379.35"/>
    <n v="0.48976750245607498"/>
    <n v="4916"/>
    <n v="16991"/>
    <n v="1"/>
    <s v="Home"/>
    <d v="2022-04-14T00:00:00"/>
    <s v="Decor Dreams"/>
    <x v="10"/>
    <n v="3717.2849999999999"/>
    <n v="337.935"/>
    <n v="0.69"/>
  </r>
  <r>
    <s v="Women 45-60"/>
    <s v="Increase Sales"/>
    <s v="15 Days"/>
    <x v="0"/>
    <n v="0.12"/>
    <n v="2494.7800000000002"/>
    <n v="0.74"/>
    <n v="6097"/>
    <n v="19580"/>
    <n v="3"/>
    <s v="Health"/>
    <d v="2022-04-04T00:00:00"/>
    <s v="Vital Vigor"/>
    <x v="10"/>
    <n v="2744.2579999999998"/>
    <n v="249.47800000000001"/>
    <n v="0.41"/>
  </r>
  <r>
    <s v="Men 18-24"/>
    <s v="Product Launch"/>
    <s v="60 Days"/>
    <x v="2"/>
    <n v="0.12"/>
    <n v="14605.2"/>
    <n v="0.14657275620948201"/>
    <n v="22209"/>
    <n v="73298"/>
    <n v="1"/>
    <s v="Fashion"/>
    <d v="2022-11-28T00:00:00"/>
    <s v="Fiber Fashion"/>
    <x v="3"/>
    <n v="16065.72"/>
    <n v="1460.52"/>
    <n v="0.66"/>
  </r>
  <r>
    <s v="Women 35-44"/>
    <s v="Market Expansion"/>
    <s v="60 Days"/>
    <x v="1"/>
    <n v="0.02"/>
    <n v="12010.36"/>
    <n v="2.35"/>
    <n v="31794"/>
    <n v="95696"/>
    <n v="2"/>
    <s v="Food"/>
    <d v="2022-12-07T00:00:00"/>
    <s v="Nosh Nirvana"/>
    <x v="7"/>
    <n v="13211.396000000001"/>
    <n v="1201.0360000000001"/>
    <n v="0.38"/>
  </r>
  <r>
    <s v="Women 18-24"/>
    <s v="Increase Sales"/>
    <s v="45 Days"/>
    <x v="3"/>
    <n v="0.06"/>
    <n v="9103.07"/>
    <n v="6.59"/>
    <n v="23897"/>
    <n v="72304"/>
    <n v="6"/>
    <s v="Health"/>
    <d v="2022-03-17T00:00:00"/>
    <s v="Pulse Point"/>
    <x v="11"/>
    <n v="10013.377"/>
    <n v="910.30700000000002"/>
    <n v="0.38"/>
  </r>
  <r>
    <s v="Women 45-60"/>
    <s v="Product Launch"/>
    <s v="60 Days"/>
    <x v="2"/>
    <n v="0.04"/>
    <n v="13417.81"/>
    <n v="0.39503145271092199"/>
    <n v="20783"/>
    <n v="68656"/>
    <n v="1"/>
    <s v="Technology"/>
    <d v="2022-05-15T00:00:00"/>
    <s v="Tech Titans"/>
    <x v="4"/>
    <n v="14759.591"/>
    <n v="1341.7809999999999"/>
    <n v="0.65"/>
  </r>
  <r>
    <s v="Men 18-24"/>
    <s v="Increase Sales"/>
    <s v="15 Days"/>
    <x v="2"/>
    <n v="0.02"/>
    <n v="500"/>
    <n v="0.32710749251628402"/>
    <n v="576"/>
    <n v="2859"/>
    <n v="1"/>
    <s v="Food"/>
    <d v="2022-04-28T00:00:00"/>
    <s v="Epicurean Edge"/>
    <x v="10"/>
    <n v="550"/>
    <n v="50"/>
    <n v="0.87"/>
  </r>
  <r>
    <s v="Women 18-24"/>
    <s v="Increase Sales"/>
    <s v="45 Days"/>
    <x v="0"/>
    <n v="0.12"/>
    <n v="10791.92"/>
    <n v="3.02"/>
    <n v="28507"/>
    <n v="85959"/>
    <n v="9"/>
    <s v="Food"/>
    <d v="2022-02-22T00:00:00"/>
    <s v="Epicurean Edge"/>
    <x v="6"/>
    <n v="11871.111999999999"/>
    <n v="1079.192"/>
    <n v="0.38"/>
  </r>
  <r>
    <s v="Men 35-44"/>
    <s v="Brand Awareness"/>
    <s v="15 Days"/>
    <x v="2"/>
    <n v="0.01"/>
    <n v="1336.67"/>
    <n v="0.227009024861027"/>
    <n v="2045"/>
    <n v="7643"/>
    <n v="1"/>
    <s v="Health"/>
    <d v="2022-01-20T00:00:00"/>
    <s v="Fitness Front"/>
    <x v="1"/>
    <n v="1470.337"/>
    <n v="133.667"/>
    <n v="0.65"/>
  </r>
  <r>
    <s v="Men 18-24"/>
    <s v="Brand Awareness"/>
    <s v="30 Days"/>
    <x v="1"/>
    <n v="0.03"/>
    <n v="5179.79"/>
    <n v="3.7"/>
    <n v="13273"/>
    <n v="40834"/>
    <n v="6"/>
    <s v="Home"/>
    <d v="2022-11-18T00:00:00"/>
    <s v="Nest Neat"/>
    <x v="3"/>
    <n v="5697.7690000000002"/>
    <n v="517.97900000000004"/>
    <n v="0.39"/>
  </r>
  <r>
    <s v="Women 45-60"/>
    <s v="Increase Sales"/>
    <s v="15 Days"/>
    <x v="0"/>
    <n v="0.03"/>
    <n v="2716.91"/>
    <n v="3.03"/>
    <n v="6648"/>
    <n v="21212"/>
    <n v="6"/>
    <s v="Home"/>
    <d v="2022-03-16T00:00:00"/>
    <s v="Decor Dreams"/>
    <x v="11"/>
    <n v="2988.6010000000001"/>
    <n v="271.69099999999997"/>
    <n v="0.41"/>
  </r>
  <r>
    <s v="Women 25-34"/>
    <s v="Product Launch"/>
    <s v="30 Days"/>
    <x v="3"/>
    <n v="0.1"/>
    <n v="4145.26"/>
    <n v="2.63"/>
    <n v="10439"/>
    <n v="32439"/>
    <n v="1"/>
    <s v="Technology"/>
    <d v="2022-12-21T00:00:00"/>
    <s v="NexGen Nerds"/>
    <x v="7"/>
    <n v="4559.7860000000001"/>
    <n v="414.52600000000001"/>
    <n v="0.4"/>
  </r>
  <r>
    <s v="Men 35-44"/>
    <s v="Product Launch"/>
    <s v="60 Days"/>
    <x v="2"/>
    <n v="0.04"/>
    <n v="12149.78"/>
    <n v="0.68638949249318604"/>
    <n v="18890"/>
    <n v="62489"/>
    <n v="1"/>
    <s v="Home"/>
    <d v="2022-02-02T00:00:00"/>
    <s v="Furnish Fine"/>
    <x v="6"/>
    <n v="13364.758"/>
    <n v="1214.9780000000001"/>
    <n v="0.64"/>
  </r>
  <r>
    <s v="Women 25-34"/>
    <s v="Increase Sales"/>
    <s v="15 Days"/>
    <x v="0"/>
    <n v="0.13"/>
    <n v="2454.9299999999998"/>
    <n v="7.64"/>
    <n v="5998"/>
    <n v="19285"/>
    <n v="4"/>
    <s v="Health"/>
    <d v="2022-02-07T00:00:00"/>
    <s v="Elixir Essence"/>
    <x v="6"/>
    <n v="2700.4229999999998"/>
    <n v="245.49299999999999"/>
    <n v="0.41"/>
  </r>
  <r>
    <s v="All Ages"/>
    <s v="Increase Sales"/>
    <s v="30 Days"/>
    <x v="0"/>
    <n v="0.02"/>
    <n v="6130.19"/>
    <n v="2.67"/>
    <n v="15847"/>
    <n v="48459"/>
    <n v="3"/>
    <s v="Home"/>
    <d v="2022-03-10T00:00:00"/>
    <s v="Cozy Corners"/>
    <x v="11"/>
    <n v="6743.2089999999998"/>
    <n v="613.01900000000001"/>
    <n v="0.39"/>
  </r>
  <r>
    <s v="Men 25-34"/>
    <s v="Market Expansion"/>
    <s v="45 Days"/>
    <x v="3"/>
    <n v="0.1"/>
    <n v="10140.94"/>
    <n v="1.52"/>
    <n v="26742"/>
    <n v="80730"/>
    <n v="8"/>
    <s v="Food"/>
    <d v="2022-08-13T00:00:00"/>
    <s v="Bistro Bliss"/>
    <x v="2"/>
    <n v="11155.034"/>
    <n v="1014.0940000000001"/>
    <n v="0.38"/>
  </r>
  <r>
    <s v="All Ages"/>
    <s v="Market Expansion"/>
    <s v="15 Days"/>
    <x v="1"/>
    <n v="7.0000000000000007E-2"/>
    <n v="1640.18"/>
    <n v="7.32"/>
    <n v="4093"/>
    <n v="13644"/>
    <n v="5"/>
    <s v="Food"/>
    <d v="2022-09-11T00:00:00"/>
    <s v="Gastronomy Guild"/>
    <x v="8"/>
    <n v="1804.1980000000001"/>
    <n v="164.018"/>
    <n v="0.4"/>
  </r>
  <r>
    <s v="Women 18-24"/>
    <s v="Increase Sales"/>
    <s v="45 Days"/>
    <x v="1"/>
    <n v="0.08"/>
    <n v="7792.74"/>
    <n v="0.76"/>
    <n v="20350"/>
    <n v="61798"/>
    <n v="10"/>
    <s v="Food"/>
    <d v="2022-02-04T00:00:00"/>
    <s v="Culinary Quest"/>
    <x v="6"/>
    <n v="8572.0139999999992"/>
    <n v="779.27400000000102"/>
    <n v="0.38"/>
  </r>
  <r>
    <s v="Women 45-60"/>
    <s v="Product Launch"/>
    <s v="15 Days"/>
    <x v="3"/>
    <n v="0.06"/>
    <n v="3332.48"/>
    <n v="1.26"/>
    <n v="8247"/>
    <n v="25948"/>
    <n v="10"/>
    <s v="Technology"/>
    <d v="2022-08-24T00:00:00"/>
    <s v="Innovate Infinity"/>
    <x v="2"/>
    <n v="3665.7280000000001"/>
    <n v="333.24799999999999"/>
    <n v="0.4"/>
  </r>
  <r>
    <s v="All Ages"/>
    <s v="Increase Sales"/>
    <s v="60 Days"/>
    <x v="2"/>
    <n v="0.12"/>
    <n v="12876.99"/>
    <n v="9.6523522381854299E-2"/>
    <n v="20010"/>
    <n v="66136"/>
    <n v="1"/>
    <s v="Health"/>
    <d v="2022-06-14T00:00:00"/>
    <s v="Aura Align"/>
    <x v="9"/>
    <n v="14164.689"/>
    <n v="1287.6990000000001"/>
    <n v="0.64"/>
  </r>
  <r>
    <s v="All Ages"/>
    <s v="Market Expansion"/>
    <s v="30 Days"/>
    <x v="1"/>
    <n v="0.06"/>
    <n v="7215.38"/>
    <n v="5.5"/>
    <n v="18785"/>
    <n v="57161"/>
    <n v="7"/>
    <s v="Home"/>
    <d v="2022-09-27T00:00:00"/>
    <s v="Furnish Fine"/>
    <x v="8"/>
    <n v="7936.9179999999997"/>
    <n v="721.53800000000001"/>
    <n v="0.38"/>
  </r>
  <r>
    <s v="Women 45-60"/>
    <s v="Increase Sales"/>
    <s v="30 Days"/>
    <x v="0"/>
    <n v="0.05"/>
    <n v="7056.74"/>
    <n v="3.24"/>
    <n v="18349"/>
    <n v="55870"/>
    <n v="5"/>
    <s v="Food"/>
    <d v="2022-06-30T00:00:00"/>
    <s v="Nosh Nirvana"/>
    <x v="9"/>
    <n v="7762.4139999999998"/>
    <n v="705.67399999999998"/>
    <n v="0.38"/>
  </r>
  <r>
    <s v="Men 18-24"/>
    <s v="Market Expansion"/>
    <s v="60 Days"/>
    <x v="1"/>
    <n v="0.04"/>
    <n v="13100.76"/>
    <n v="4.05"/>
    <n v="34626"/>
    <n v="104084"/>
    <n v="4"/>
    <s v="Home"/>
    <d v="2022-06-14T00:00:00"/>
    <s v="Homely Haven"/>
    <x v="9"/>
    <n v="14410.835999999999"/>
    <n v="1310.076"/>
    <n v="0.38"/>
  </r>
  <r>
    <s v="Women 45-60"/>
    <s v="Increase Sales"/>
    <s v="30 Days"/>
    <x v="1"/>
    <n v="7.0000000000000007E-2"/>
    <n v="7443.08"/>
    <n v="6.72"/>
    <n v="19386"/>
    <n v="58942"/>
    <n v="6"/>
    <s v="Health"/>
    <d v="2022-05-11T00:00:00"/>
    <s v="Elixir Essence"/>
    <x v="4"/>
    <n v="8187.3879999999999"/>
    <n v="744.30799999999999"/>
    <n v="0.38"/>
  </r>
  <r>
    <s v="Men 35-44"/>
    <s v="Product Launch"/>
    <s v="30 Days"/>
    <x v="3"/>
    <n v="0.11"/>
    <n v="5352.56"/>
    <n v="5.04"/>
    <n v="13731"/>
    <n v="42192"/>
    <n v="5"/>
    <s v="Fashion"/>
    <d v="2022-01-30T00:00:00"/>
    <s v="Chic Couture"/>
    <x v="1"/>
    <n v="5887.8159999999998"/>
    <n v="535.25599999999997"/>
    <n v="0.39"/>
  </r>
  <r>
    <s v="Men 18-24"/>
    <s v="Product Launch"/>
    <s v="60 Days"/>
    <x v="1"/>
    <n v="0.12"/>
    <n v="14459.62"/>
    <n v="7.72"/>
    <n v="37565"/>
    <n v="112790"/>
    <n v="6"/>
    <s v="Home"/>
    <d v="2022-01-29T00:00:00"/>
    <s v="Furnish Fine"/>
    <x v="1"/>
    <n v="15905.582"/>
    <n v="1445.962"/>
    <n v="0.38"/>
  </r>
  <r>
    <s v="Women 18-24"/>
    <s v="Product Launch"/>
    <s v="45 Days"/>
    <x v="3"/>
    <n v="0.04"/>
    <n v="8553.99"/>
    <n v="4.7"/>
    <n v="22434"/>
    <n v="67971"/>
    <n v="1"/>
    <s v="Technology"/>
    <d v="2022-09-26T00:00:00"/>
    <s v="Silicon Saga"/>
    <x v="8"/>
    <n v="9409.3889999999992"/>
    <n v="855.39900000000102"/>
    <n v="0.38"/>
  </r>
  <r>
    <s v="Women 35-44"/>
    <s v="Product Launch"/>
    <s v="60 Days"/>
    <x v="1"/>
    <n v="0.13"/>
    <n v="12398.45"/>
    <n v="2.84"/>
    <n v="32821"/>
    <n v="98736"/>
    <n v="3"/>
    <s v="Home"/>
    <d v="2022-10-08T00:00:00"/>
    <s v="Domestic Dream"/>
    <x v="5"/>
    <n v="13638.295"/>
    <n v="1239.845"/>
    <n v="0.38"/>
  </r>
  <r>
    <s v="Men 18-24"/>
    <s v="Product Launch"/>
    <s v="15 Days"/>
    <x v="1"/>
    <n v="0.02"/>
    <n v="3560.19"/>
    <n v="6.54"/>
    <n v="8847"/>
    <n v="27726"/>
    <n v="7"/>
    <s v="Food"/>
    <d v="2022-01-03T00:00:00"/>
    <s v="Gourmet Grove"/>
    <x v="1"/>
    <n v="3916.2089999999998"/>
    <n v="356.01900000000001"/>
    <n v="0.4"/>
  </r>
  <r>
    <s v="Women 35-44"/>
    <s v="Market Expansion"/>
    <s v="60 Days"/>
    <x v="0"/>
    <n v="0.04"/>
    <n v="11724.69"/>
    <n v="3.29"/>
    <n v="31043"/>
    <n v="93470"/>
    <n v="1"/>
    <s v="Food"/>
    <d v="2022-10-14T00:00:00"/>
    <s v="Gourmet Grove"/>
    <x v="5"/>
    <n v="12897.159"/>
    <n v="1172.4690000000001"/>
    <n v="0.38"/>
  </r>
  <r>
    <s v="Men 45-60"/>
    <s v="Increase Sales"/>
    <s v="45 Days"/>
    <x v="2"/>
    <n v="0.03"/>
    <n v="11189.03"/>
    <n v="0.31817012933277899"/>
    <n v="17380"/>
    <n v="57573"/>
    <n v="1"/>
    <s v="Food"/>
    <d v="2022-03-12T00:00:00"/>
    <s v="Epicurean Edge"/>
    <x v="11"/>
    <n v="12307.933000000001"/>
    <n v="1118.903"/>
    <n v="0.64"/>
  </r>
  <r>
    <s v="All Ages"/>
    <s v="Increase Sales"/>
    <s v="30 Days"/>
    <x v="2"/>
    <n v="0.11"/>
    <n v="7027.27"/>
    <n v="0.94199807954143"/>
    <n v="10733"/>
    <n v="35931"/>
    <n v="1"/>
    <s v="Health"/>
    <d v="2022-04-27T00:00:00"/>
    <s v="Pulse Point"/>
    <x v="10"/>
    <n v="7729.9970000000003"/>
    <n v="702.72699999999998"/>
    <n v="0.65"/>
  </r>
  <r>
    <s v="Women 35-44"/>
    <s v="Market Expansion"/>
    <s v="30 Days"/>
    <x v="0"/>
    <n v="0.09"/>
    <n v="4707.3999999999996"/>
    <n v="6.69"/>
    <n v="11976"/>
    <n v="36994"/>
    <n v="6"/>
    <s v="Home"/>
    <d v="2022-05-08T00:00:00"/>
    <s v="Dwell Delight"/>
    <x v="4"/>
    <n v="5178.1400000000003"/>
    <n v="470.74"/>
    <n v="0.39"/>
  </r>
  <r>
    <s v="Women 18-24"/>
    <s v="Market Expansion"/>
    <s v="60 Days"/>
    <x v="0"/>
    <n v="0.02"/>
    <n v="13438.61"/>
    <n v="4.49"/>
    <n v="35436"/>
    <n v="106482"/>
    <n v="6"/>
    <s v="Home"/>
    <d v="2022-02-27T00:00:00"/>
    <s v="Hearth Harmony"/>
    <x v="6"/>
    <n v="14782.471"/>
    <n v="1343.8610000000001"/>
    <n v="0.38"/>
  </r>
  <r>
    <s v="Women 25-34"/>
    <s v="Increase Sales"/>
    <s v="15 Days"/>
    <x v="1"/>
    <n v="0.04"/>
    <n v="3372.62"/>
    <n v="4.6500000000000004"/>
    <n v="8353"/>
    <n v="26263"/>
    <n v="3"/>
    <s v="Technology"/>
    <d v="2022-03-29T00:00:00"/>
    <s v="Tech Titans"/>
    <x v="11"/>
    <n v="3709.8820000000001"/>
    <n v="337.262"/>
    <n v="0.4"/>
  </r>
  <r>
    <s v="Women 35-44"/>
    <s v="Product Launch"/>
    <s v="45 Days"/>
    <x v="1"/>
    <n v="0.05"/>
    <n v="11158.28"/>
    <n v="7.82"/>
    <n v="29510"/>
    <n v="88929"/>
    <n v="5"/>
    <s v="Home"/>
    <d v="2022-05-31T00:00:00"/>
    <s v="Space Spruce"/>
    <x v="4"/>
    <n v="12274.108"/>
    <n v="1115.828"/>
    <n v="0.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AC00A-06D4-494D-BF93-F08B775CB897}" name="PivotTable1" cacheId="8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C2:H7" firstHeaderRow="0" firstDataRow="1" firstDataCol="1"/>
  <pivotFields count="17"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3"/>
        <item x="2"/>
        <item x="0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Spend" fld="5" baseField="0" baseItem="0"/>
    <dataField name="Total Clicks" fld="7" baseField="0" baseItem="0"/>
    <dataField name="Total Impressions" fld="8" baseField="0" baseItem="0"/>
    <dataField name="Avg ROI" fld="6" subtotal="average" baseField="0" baseItem="0"/>
    <dataField name="Avg Conversion" fld="4" subtotal="average" baseField="0" baseItem="0"/>
  </dataFields>
  <formats count="12">
    <format dxfId="10">
      <pivotArea field="3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field="3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8">
      <pivotArea grandRow="1" outline="0" collapsedLevelsAreSubtotals="1" fieldPosition="0"/>
    </format>
    <format dxfId="19">
      <pivotArea dataOnly="0" labelOnly="1" grandRow="1" outline="0" fieldPosition="0"/>
    </format>
    <format dxfId="20">
      <pivotArea field="3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100">
    <chartFormat chart="3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3" format="3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2"/>
          </reference>
          <reference field="3" count="1" selected="0">
            <x v="2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2"/>
          </reference>
          <reference field="3" count="1" selected="0">
            <x v="3"/>
          </reference>
        </references>
      </pivotArea>
    </chartFormat>
    <chartFormat chart="3" format="4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3"/>
          </reference>
          <reference field="3" count="1" selected="0">
            <x v="1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3"/>
          </reference>
          <reference field="3" count="1" selected="0">
            <x v="2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3"/>
          </reference>
          <reference field="3" count="1" selected="0">
            <x v="3"/>
          </reference>
        </references>
      </pivotArea>
    </chartFormat>
    <chartFormat chart="3" format="4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4"/>
          </reference>
          <reference field="3" count="1" selected="0">
            <x v="0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4"/>
          </reference>
          <reference field="3" count="1" selected="0">
            <x v="1"/>
          </reference>
        </references>
      </pivotArea>
    </chartFormat>
    <chartFormat chart="3" format="48">
      <pivotArea type="data" outline="0" fieldPosition="0">
        <references count="2">
          <reference field="4294967294" count="1" selected="0">
            <x v="4"/>
          </reference>
          <reference field="3" count="1" selected="0">
            <x v="2"/>
          </reference>
        </references>
      </pivotArea>
    </chartFormat>
    <chartFormat chart="3" format="49">
      <pivotArea type="data" outline="0" fieldPosition="0">
        <references count="2">
          <reference field="4294967294" count="1" selected="0">
            <x v="4"/>
          </reference>
          <reference field="3" count="1" selected="0">
            <x v="3"/>
          </reference>
        </references>
      </pivotArea>
    </chartFormat>
    <chartFormat chart="4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5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6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4" format="57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4" format="58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4" format="59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4" format="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1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4" format="62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4" format="63">
      <pivotArea type="data" outline="0" fieldPosition="0">
        <references count="2">
          <reference field="4294967294" count="1" selected="0">
            <x v="2"/>
          </reference>
          <reference field="3" count="1" selected="0">
            <x v="2"/>
          </reference>
        </references>
      </pivotArea>
    </chartFormat>
    <chartFormat chart="4" format="64">
      <pivotArea type="data" outline="0" fieldPosition="0">
        <references count="2">
          <reference field="4294967294" count="1" selected="0">
            <x v="2"/>
          </reference>
          <reference field="3" count="1" selected="0">
            <x v="3"/>
          </reference>
        </references>
      </pivotArea>
    </chartFormat>
    <chartFormat chart="4" format="6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66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4" format="67">
      <pivotArea type="data" outline="0" fieldPosition="0">
        <references count="2">
          <reference field="4294967294" count="1" selected="0">
            <x v="3"/>
          </reference>
          <reference field="3" count="1" selected="0">
            <x v="1"/>
          </reference>
        </references>
      </pivotArea>
    </chartFormat>
    <chartFormat chart="4" format="68">
      <pivotArea type="data" outline="0" fieldPosition="0">
        <references count="2">
          <reference field="4294967294" count="1" selected="0">
            <x v="3"/>
          </reference>
          <reference field="3" count="1" selected="0">
            <x v="2"/>
          </reference>
        </references>
      </pivotArea>
    </chartFormat>
    <chartFormat chart="4" format="69">
      <pivotArea type="data" outline="0" fieldPosition="0">
        <references count="2">
          <reference field="4294967294" count="1" selected="0">
            <x v="3"/>
          </reference>
          <reference field="3" count="1" selected="0">
            <x v="3"/>
          </reference>
        </references>
      </pivotArea>
    </chartFormat>
    <chartFormat chart="4" format="7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71">
      <pivotArea type="data" outline="0" fieldPosition="0">
        <references count="2">
          <reference field="4294967294" count="1" selected="0">
            <x v="4"/>
          </reference>
          <reference field="3" count="1" selected="0">
            <x v="0"/>
          </reference>
        </references>
      </pivotArea>
    </chartFormat>
    <chartFormat chart="4" format="72">
      <pivotArea type="data" outline="0" fieldPosition="0">
        <references count="2">
          <reference field="4294967294" count="1" selected="0">
            <x v="4"/>
          </reference>
          <reference field="3" count="1" selected="0">
            <x v="1"/>
          </reference>
        </references>
      </pivotArea>
    </chartFormat>
    <chartFormat chart="4" format="73">
      <pivotArea type="data" outline="0" fieldPosition="0">
        <references count="2">
          <reference field="4294967294" count="1" selected="0">
            <x v="4"/>
          </reference>
          <reference field="3" count="1" selected="0">
            <x v="2"/>
          </reference>
        </references>
      </pivotArea>
    </chartFormat>
    <chartFormat chart="4" format="74">
      <pivotArea type="data" outline="0" fieldPosition="0">
        <references count="2">
          <reference field="4294967294" count="1" selected="0">
            <x v="4"/>
          </reference>
          <reference field="3" count="1" selected="0">
            <x v="3"/>
          </reference>
        </references>
      </pivotArea>
    </chartFormat>
    <chartFormat chart="5" format="7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7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7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7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8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5" format="82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5" format="83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5" format="84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5" format="8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86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5" format="87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5" format="88">
      <pivotArea type="data" outline="0" fieldPosition="0">
        <references count="2">
          <reference field="4294967294" count="1" selected="0">
            <x v="2"/>
          </reference>
          <reference field="3" count="1" selected="0">
            <x v="2"/>
          </reference>
        </references>
      </pivotArea>
    </chartFormat>
    <chartFormat chart="5" format="89">
      <pivotArea type="data" outline="0" fieldPosition="0">
        <references count="2">
          <reference field="4294967294" count="1" selected="0">
            <x v="2"/>
          </reference>
          <reference field="3" count="1" selected="0">
            <x v="3"/>
          </reference>
        </references>
      </pivotArea>
    </chartFormat>
    <chartFormat chart="5" format="9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91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5" format="92">
      <pivotArea type="data" outline="0" fieldPosition="0">
        <references count="2">
          <reference field="4294967294" count="1" selected="0">
            <x v="3"/>
          </reference>
          <reference field="3" count="1" selected="0">
            <x v="1"/>
          </reference>
        </references>
      </pivotArea>
    </chartFormat>
    <chartFormat chart="5" format="93">
      <pivotArea type="data" outline="0" fieldPosition="0">
        <references count="2">
          <reference field="4294967294" count="1" selected="0">
            <x v="3"/>
          </reference>
          <reference field="3" count="1" selected="0">
            <x v="2"/>
          </reference>
        </references>
      </pivotArea>
    </chartFormat>
    <chartFormat chart="5" format="94">
      <pivotArea type="data" outline="0" fieldPosition="0">
        <references count="2">
          <reference field="4294967294" count="1" selected="0">
            <x v="3"/>
          </reference>
          <reference field="3" count="1" selected="0">
            <x v="3"/>
          </reference>
        </references>
      </pivotArea>
    </chartFormat>
    <chartFormat chart="5" format="9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96">
      <pivotArea type="data" outline="0" fieldPosition="0">
        <references count="2">
          <reference field="4294967294" count="1" selected="0">
            <x v="4"/>
          </reference>
          <reference field="3" count="1" selected="0">
            <x v="0"/>
          </reference>
        </references>
      </pivotArea>
    </chartFormat>
    <chartFormat chart="5" format="97">
      <pivotArea type="data" outline="0" fieldPosition="0">
        <references count="2">
          <reference field="4294967294" count="1" selected="0">
            <x v="4"/>
          </reference>
          <reference field="3" count="1" selected="0">
            <x v="1"/>
          </reference>
        </references>
      </pivotArea>
    </chartFormat>
    <chartFormat chart="5" format="98">
      <pivotArea type="data" outline="0" fieldPosition="0">
        <references count="2">
          <reference field="4294967294" count="1" selected="0">
            <x v="4"/>
          </reference>
          <reference field="3" count="1" selected="0">
            <x v="2"/>
          </reference>
        </references>
      </pivotArea>
    </chartFormat>
    <chartFormat chart="5" format="99">
      <pivotArea type="data" outline="0" fieldPosition="0">
        <references count="2">
          <reference field="4294967294" count="1" selected="0">
            <x v="4"/>
          </reference>
          <reference field="3" count="1" selected="0">
            <x v="3"/>
          </reference>
        </references>
      </pivotArea>
    </chartFormat>
    <chartFormat chart="6" format="10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0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0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0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0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6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6" format="107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6" format="108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6" format="109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6" format="1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11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6" format="112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6" format="113">
      <pivotArea type="data" outline="0" fieldPosition="0">
        <references count="2">
          <reference field="4294967294" count="1" selected="0">
            <x v="2"/>
          </reference>
          <reference field="3" count="1" selected="0">
            <x v="2"/>
          </reference>
        </references>
      </pivotArea>
    </chartFormat>
    <chartFormat chart="6" format="114">
      <pivotArea type="data" outline="0" fieldPosition="0">
        <references count="2">
          <reference field="4294967294" count="1" selected="0">
            <x v="2"/>
          </reference>
          <reference field="3" count="1" selected="0">
            <x v="3"/>
          </reference>
        </references>
      </pivotArea>
    </chartFormat>
    <chartFormat chart="6" format="1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116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6" format="117">
      <pivotArea type="data" outline="0" fieldPosition="0">
        <references count="2">
          <reference field="4294967294" count="1" selected="0">
            <x v="3"/>
          </reference>
          <reference field="3" count="1" selected="0">
            <x v="1"/>
          </reference>
        </references>
      </pivotArea>
    </chartFormat>
    <chartFormat chart="6" format="118">
      <pivotArea type="data" outline="0" fieldPosition="0">
        <references count="2">
          <reference field="4294967294" count="1" selected="0">
            <x v="3"/>
          </reference>
          <reference field="3" count="1" selected="0">
            <x v="2"/>
          </reference>
        </references>
      </pivotArea>
    </chartFormat>
    <chartFormat chart="6" format="119">
      <pivotArea type="data" outline="0" fieldPosition="0">
        <references count="2">
          <reference field="4294967294" count="1" selected="0">
            <x v="3"/>
          </reference>
          <reference field="3" count="1" selected="0">
            <x v="3"/>
          </reference>
        </references>
      </pivotArea>
    </chartFormat>
    <chartFormat chart="6" format="12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121">
      <pivotArea type="data" outline="0" fieldPosition="0">
        <references count="2">
          <reference field="4294967294" count="1" selected="0">
            <x v="4"/>
          </reference>
          <reference field="3" count="1" selected="0">
            <x v="0"/>
          </reference>
        </references>
      </pivotArea>
    </chartFormat>
    <chartFormat chart="6" format="122">
      <pivotArea type="data" outline="0" fieldPosition="0">
        <references count="2">
          <reference field="4294967294" count="1" selected="0">
            <x v="4"/>
          </reference>
          <reference field="3" count="1" selected="0">
            <x v="1"/>
          </reference>
        </references>
      </pivotArea>
    </chartFormat>
    <chartFormat chart="6" format="123">
      <pivotArea type="data" outline="0" fieldPosition="0">
        <references count="2">
          <reference field="4294967294" count="1" selected="0">
            <x v="4"/>
          </reference>
          <reference field="3" count="1" selected="0">
            <x v="2"/>
          </reference>
        </references>
      </pivotArea>
    </chartFormat>
    <chartFormat chart="6" format="124">
      <pivotArea type="data" outline="0" fieldPosition="0">
        <references count="2">
          <reference field="4294967294" count="1" selected="0">
            <x v="4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2A4D1-350D-4BD9-B648-8242D9BD0755}" name="PivotTable2" cacheId="8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1:D24" firstHeaderRow="0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13">
        <item x="1"/>
        <item x="6"/>
        <item x="11"/>
        <item x="10"/>
        <item x="4"/>
        <item x="9"/>
        <item x="0"/>
        <item x="2"/>
        <item x="8"/>
        <item x="5"/>
        <item x="3"/>
        <item x="7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licks" fld="7" baseField="0" baseItem="0"/>
    <dataField name="Total Impressions" fld="8" baseField="0" baseItem="0"/>
    <dataField name="Avg ROI" fld="6" subtotal="average" baseField="0" baseItem="0"/>
  </dataFields>
  <formats count="9"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">
      <pivotArea field="13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">
      <pivotArea field="13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">
      <pivotArea grandRow="1" outline="0" collapsedLevelsAreSubtotals="1" fieldPosition="0"/>
    </format>
    <format dxfId="7">
      <pivotArea dataOnly="0" labelOnly="1" grandRow="1" outline="0" fieldPosition="0"/>
    </format>
    <format dxfId="8">
      <pivotArea field="13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30B241-1C97-4A51-92F5-23771A4CE151}" name="Table2" displayName="Table2" ref="A1:Q1001" totalsRowShown="0">
  <autoFilter ref="A1:Q1001" xr:uid="{8F30B241-1C97-4A51-92F5-23771A4CE151}"/>
  <tableColumns count="17">
    <tableColumn id="1" xr3:uid="{17DCD9A7-2CDC-4236-A190-6F1AE0E98141}" name="Target_Audience"/>
    <tableColumn id="2" xr3:uid="{7DE1932A-2634-4686-9C52-A04DBAAEBDED}" name="Campaign_Goal"/>
    <tableColumn id="3" xr3:uid="{B8AF463D-72E7-4EB2-B2F1-3C67A9AA7631}" name="Duration"/>
    <tableColumn id="4" xr3:uid="{F4E89570-4C7E-413F-9D52-4857673AEC80}" name="Channel_Used"/>
    <tableColumn id="5" xr3:uid="{47A22286-DE37-49EE-AF4B-005ABFF50532}" name="Conversion_Rate"/>
    <tableColumn id="6" xr3:uid="{F034D256-DAA0-4857-8E72-C642414327ED}" name="Acquisition_Cost"/>
    <tableColumn id="7" xr3:uid="{3CAB9A70-A679-4956-9E28-1279C3FC6901}" name="ROI"/>
    <tableColumn id="8" xr3:uid="{05C70804-27DA-4F5C-876D-BB1A61EDE415}" name="Clicks"/>
    <tableColumn id="9" xr3:uid="{DA862FD7-E25D-4FBE-BA20-ABDC59D85D99}" name="Impressions"/>
    <tableColumn id="10" xr3:uid="{FBB0E616-4E0E-4C1B-B693-640E87135264}" name="Engagement_Score"/>
    <tableColumn id="11" xr3:uid="{26408228-26F4-475C-9417-FD26D4776C34}" name="Customer_Segment"/>
    <tableColumn id="12" xr3:uid="{C3CD0FE4-3871-4BF2-9320-120F6FFB6385}" name="Date" dataDxfId="0"/>
    <tableColumn id="13" xr3:uid="{1D9F70DC-594D-42E2-BC53-E237663A3033}" name="Company"/>
    <tableColumn id="14" xr3:uid="{11E3732C-3F0A-400F-956A-CBED3D525CAD}" name="Month"/>
    <tableColumn id="15" xr3:uid="{252B10D9-4F8C-4E2A-A235-DE00B007A6BA}" name="Budget_Planned"/>
    <tableColumn id="16" xr3:uid="{3FF0C333-B336-44CC-B72D-99DD7A8AF429}" name="Variance"/>
    <tableColumn id="17" xr3:uid="{BB26E73F-CBA2-474D-8F84-C38590ED4E43}" name="Cost_Per_Cli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9AF4-8EAF-4695-ADAD-7E084C2B1547}">
  <dimension ref="A1:Q1001"/>
  <sheetViews>
    <sheetView tabSelected="1" workbookViewId="0">
      <pane ySplit="1" topLeftCell="A23" activePane="bottomLeft" state="frozen"/>
      <selection pane="bottomLeft" activeCell="D17" sqref="D17"/>
    </sheetView>
  </sheetViews>
  <sheetFormatPr defaultRowHeight="15"/>
  <cols>
    <col min="1" max="1" width="18.28515625" bestFit="1" customWidth="1"/>
    <col min="2" max="2" width="17.140625" bestFit="1" customWidth="1"/>
    <col min="3" max="3" width="11" bestFit="1" customWidth="1"/>
    <col min="4" max="4" width="17" customWidth="1"/>
    <col min="5" max="5" width="18.28515625" bestFit="1" customWidth="1"/>
    <col min="6" max="6" width="18" bestFit="1" customWidth="1"/>
    <col min="9" max="9" width="17.140625" customWidth="1"/>
    <col min="10" max="10" width="23.85546875" customWidth="1"/>
    <col min="11" max="11" width="22.28515625" customWidth="1"/>
    <col min="12" max="12" width="11.140625" bestFit="1" customWidth="1"/>
    <col min="13" max="13" width="16.85546875" customWidth="1"/>
    <col min="15" max="15" width="17.85546875" bestFit="1" customWidth="1"/>
    <col min="16" max="16" width="11" bestFit="1" customWidth="1"/>
    <col min="17" max="17" width="21.85546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0.04</v>
      </c>
      <c r="F2">
        <v>500</v>
      </c>
      <c r="G2">
        <v>6.79</v>
      </c>
      <c r="H2">
        <v>1150</v>
      </c>
      <c r="I2">
        <v>4926</v>
      </c>
      <c r="J2">
        <v>1</v>
      </c>
      <c r="K2" t="s">
        <v>21</v>
      </c>
      <c r="L2" s="1">
        <v>44760</v>
      </c>
      <c r="M2" t="s">
        <v>22</v>
      </c>
      <c r="N2" t="s">
        <v>23</v>
      </c>
      <c r="O2">
        <v>550</v>
      </c>
      <c r="P2">
        <v>50</v>
      </c>
      <c r="Q2">
        <v>0.43</v>
      </c>
    </row>
    <row r="3" spans="1:17">
      <c r="A3" t="s">
        <v>24</v>
      </c>
      <c r="B3" t="s">
        <v>25</v>
      </c>
      <c r="C3" t="s">
        <v>19</v>
      </c>
      <c r="D3" t="s">
        <v>20</v>
      </c>
      <c r="E3">
        <v>0.1</v>
      </c>
      <c r="F3">
        <v>2977.3</v>
      </c>
      <c r="G3">
        <v>2.08</v>
      </c>
      <c r="H3">
        <v>7317</v>
      </c>
      <c r="I3">
        <v>23192</v>
      </c>
      <c r="J3">
        <v>9</v>
      </c>
      <c r="K3" t="s">
        <v>21</v>
      </c>
      <c r="L3" s="1">
        <v>44578</v>
      </c>
      <c r="M3" t="s">
        <v>26</v>
      </c>
      <c r="N3" t="s">
        <v>27</v>
      </c>
      <c r="O3">
        <v>3275.03</v>
      </c>
      <c r="P3">
        <v>297.73</v>
      </c>
      <c r="Q3">
        <v>0.41</v>
      </c>
    </row>
    <row r="4" spans="1:17">
      <c r="A4" t="s">
        <v>28</v>
      </c>
      <c r="B4" t="s">
        <v>29</v>
      </c>
      <c r="C4" t="s">
        <v>30</v>
      </c>
      <c r="D4" t="s">
        <v>20</v>
      </c>
      <c r="E4">
        <v>0.13</v>
      </c>
      <c r="F4">
        <v>6064.53</v>
      </c>
      <c r="G4">
        <v>4.49</v>
      </c>
      <c r="H4">
        <v>15675</v>
      </c>
      <c r="I4">
        <v>47948</v>
      </c>
      <c r="J4">
        <v>8</v>
      </c>
      <c r="K4" t="s">
        <v>21</v>
      </c>
      <c r="L4" s="1">
        <v>44776</v>
      </c>
      <c r="M4" t="s">
        <v>31</v>
      </c>
      <c r="N4" t="s">
        <v>32</v>
      </c>
      <c r="O4">
        <v>6670.9830000000002</v>
      </c>
      <c r="P4">
        <v>606.45299999999997</v>
      </c>
      <c r="Q4">
        <v>0.39</v>
      </c>
    </row>
    <row r="5" spans="1:17">
      <c r="A5" t="s">
        <v>33</v>
      </c>
      <c r="B5" t="s">
        <v>34</v>
      </c>
      <c r="C5" t="s">
        <v>35</v>
      </c>
      <c r="D5" t="s">
        <v>36</v>
      </c>
      <c r="E5">
        <v>0.15</v>
      </c>
      <c r="F5">
        <v>15000</v>
      </c>
      <c r="G5">
        <v>4.1900000000000004</v>
      </c>
      <c r="H5">
        <v>39910</v>
      </c>
      <c r="I5">
        <v>119735</v>
      </c>
      <c r="J5">
        <v>4</v>
      </c>
      <c r="K5" t="s">
        <v>37</v>
      </c>
      <c r="L5" s="1">
        <v>44768</v>
      </c>
      <c r="M5" t="s">
        <v>38</v>
      </c>
      <c r="N5" t="s">
        <v>23</v>
      </c>
      <c r="O5">
        <v>16500</v>
      </c>
      <c r="P5">
        <v>1500</v>
      </c>
      <c r="Q5">
        <v>0.38</v>
      </c>
    </row>
    <row r="6" spans="1:17">
      <c r="A6" t="s">
        <v>39</v>
      </c>
      <c r="B6" t="s">
        <v>34</v>
      </c>
      <c r="C6" t="s">
        <v>40</v>
      </c>
      <c r="D6" t="s">
        <v>20</v>
      </c>
      <c r="E6">
        <v>0.15</v>
      </c>
      <c r="F6">
        <v>8899.65</v>
      </c>
      <c r="G6">
        <v>5.09</v>
      </c>
      <c r="H6">
        <v>23353</v>
      </c>
      <c r="I6">
        <v>70692</v>
      </c>
      <c r="J6">
        <v>6</v>
      </c>
      <c r="K6" t="s">
        <v>21</v>
      </c>
      <c r="L6" s="1">
        <v>44870</v>
      </c>
      <c r="M6" t="s">
        <v>31</v>
      </c>
      <c r="N6" t="s">
        <v>41</v>
      </c>
      <c r="O6">
        <v>9789.6149999999998</v>
      </c>
      <c r="P6">
        <v>889.96500000000003</v>
      </c>
      <c r="Q6">
        <v>0.38</v>
      </c>
    </row>
    <row r="7" spans="1:17">
      <c r="A7" t="s">
        <v>17</v>
      </c>
      <c r="B7" t="s">
        <v>29</v>
      </c>
      <c r="C7" t="s">
        <v>19</v>
      </c>
      <c r="D7" t="s">
        <v>42</v>
      </c>
      <c r="E7">
        <v>0.11</v>
      </c>
      <c r="F7">
        <v>1857.02</v>
      </c>
      <c r="G7">
        <v>0.27705825868865502</v>
      </c>
      <c r="H7">
        <v>2679</v>
      </c>
      <c r="I7">
        <v>9707</v>
      </c>
      <c r="J7">
        <v>1</v>
      </c>
      <c r="K7" t="s">
        <v>21</v>
      </c>
      <c r="L7" s="1">
        <v>44684</v>
      </c>
      <c r="M7" t="s">
        <v>43</v>
      </c>
      <c r="N7" t="s">
        <v>44</v>
      </c>
      <c r="O7">
        <v>2042.722</v>
      </c>
      <c r="P7">
        <v>185.702</v>
      </c>
      <c r="Q7">
        <v>0.69</v>
      </c>
    </row>
    <row r="8" spans="1:17">
      <c r="A8" t="s">
        <v>45</v>
      </c>
      <c r="B8" t="s">
        <v>18</v>
      </c>
      <c r="C8" t="s">
        <v>35</v>
      </c>
      <c r="D8" t="s">
        <v>36</v>
      </c>
      <c r="E8">
        <v>0.02</v>
      </c>
      <c r="F8">
        <v>12347.82</v>
      </c>
      <c r="G8">
        <v>6.09</v>
      </c>
      <c r="H8">
        <v>32688</v>
      </c>
      <c r="I8">
        <v>98344</v>
      </c>
      <c r="J8">
        <v>1</v>
      </c>
      <c r="K8" t="s">
        <v>46</v>
      </c>
      <c r="L8" s="1">
        <v>44761</v>
      </c>
      <c r="M8" t="s">
        <v>47</v>
      </c>
      <c r="N8" t="s">
        <v>23</v>
      </c>
      <c r="O8">
        <v>13582.602000000001</v>
      </c>
      <c r="P8">
        <v>1234.7819999999999</v>
      </c>
      <c r="Q8">
        <v>0.38</v>
      </c>
    </row>
    <row r="9" spans="1:17">
      <c r="A9" t="s">
        <v>45</v>
      </c>
      <c r="B9" t="s">
        <v>29</v>
      </c>
      <c r="C9" t="s">
        <v>30</v>
      </c>
      <c r="D9" t="s">
        <v>42</v>
      </c>
      <c r="E9">
        <v>0.03</v>
      </c>
      <c r="F9">
        <v>6681.21</v>
      </c>
      <c r="G9">
        <v>1.2851928257880201</v>
      </c>
      <c r="H9">
        <v>10176</v>
      </c>
      <c r="I9">
        <v>34115</v>
      </c>
      <c r="J9">
        <v>1</v>
      </c>
      <c r="K9" t="s">
        <v>21</v>
      </c>
      <c r="L9" s="1">
        <v>44766</v>
      </c>
      <c r="M9" t="s">
        <v>48</v>
      </c>
      <c r="N9" t="s">
        <v>23</v>
      </c>
      <c r="O9">
        <v>7349.3310000000001</v>
      </c>
      <c r="P9">
        <v>668.121000000001</v>
      </c>
      <c r="Q9">
        <v>0.66</v>
      </c>
    </row>
    <row r="10" spans="1:17">
      <c r="A10" t="s">
        <v>49</v>
      </c>
      <c r="B10" t="s">
        <v>18</v>
      </c>
      <c r="C10" t="s">
        <v>19</v>
      </c>
      <c r="D10" t="s">
        <v>50</v>
      </c>
      <c r="E10">
        <v>0.11</v>
      </c>
      <c r="F10">
        <v>3956.43</v>
      </c>
      <c r="G10">
        <v>2.19</v>
      </c>
      <c r="H10">
        <v>9921</v>
      </c>
      <c r="I10">
        <v>30907</v>
      </c>
      <c r="J10">
        <v>4</v>
      </c>
      <c r="K10" t="s">
        <v>37</v>
      </c>
      <c r="L10" s="1">
        <v>44873</v>
      </c>
      <c r="M10" t="s">
        <v>38</v>
      </c>
      <c r="N10" t="s">
        <v>41</v>
      </c>
      <c r="O10">
        <v>4352.0730000000003</v>
      </c>
      <c r="P10">
        <v>395.64299999999997</v>
      </c>
      <c r="Q10">
        <v>0.4</v>
      </c>
    </row>
    <row r="11" spans="1:17">
      <c r="A11" t="s">
        <v>28</v>
      </c>
      <c r="B11" t="s">
        <v>29</v>
      </c>
      <c r="C11" t="s">
        <v>40</v>
      </c>
      <c r="D11" t="s">
        <v>50</v>
      </c>
      <c r="E11">
        <v>0.05</v>
      </c>
      <c r="F11">
        <v>11047.8</v>
      </c>
      <c r="G11">
        <v>3.18</v>
      </c>
      <c r="H11">
        <v>29204</v>
      </c>
      <c r="I11">
        <v>88024</v>
      </c>
      <c r="J11">
        <v>5</v>
      </c>
      <c r="K11" t="s">
        <v>51</v>
      </c>
      <c r="L11" s="1">
        <v>44770</v>
      </c>
      <c r="M11" t="s">
        <v>52</v>
      </c>
      <c r="N11" t="s">
        <v>23</v>
      </c>
      <c r="O11">
        <v>12152.58</v>
      </c>
      <c r="P11">
        <v>1104.78</v>
      </c>
      <c r="Q11">
        <v>0.38</v>
      </c>
    </row>
    <row r="12" spans="1:17">
      <c r="A12" t="s">
        <v>39</v>
      </c>
      <c r="B12" t="s">
        <v>25</v>
      </c>
      <c r="C12" t="s">
        <v>30</v>
      </c>
      <c r="D12" t="s">
        <v>20</v>
      </c>
      <c r="E12">
        <v>0.05</v>
      </c>
      <c r="F12">
        <v>7673.11</v>
      </c>
      <c r="G12" s="2">
        <v>0.31</v>
      </c>
      <c r="H12">
        <v>20014</v>
      </c>
      <c r="I12">
        <v>60801</v>
      </c>
      <c r="J12">
        <v>10</v>
      </c>
      <c r="K12" t="s">
        <v>53</v>
      </c>
      <c r="L12" s="1">
        <v>44580</v>
      </c>
      <c r="M12" t="s">
        <v>54</v>
      </c>
      <c r="N12" t="s">
        <v>27</v>
      </c>
      <c r="O12">
        <v>8440.4210000000003</v>
      </c>
      <c r="P12">
        <v>767.31100000000004</v>
      </c>
      <c r="Q12">
        <v>0.38</v>
      </c>
    </row>
    <row r="13" spans="1:17">
      <c r="A13" t="s">
        <v>39</v>
      </c>
      <c r="B13" t="s">
        <v>34</v>
      </c>
      <c r="C13" t="s">
        <v>40</v>
      </c>
      <c r="D13" t="s">
        <v>36</v>
      </c>
      <c r="E13">
        <v>0.02</v>
      </c>
      <c r="F13">
        <v>8032.81</v>
      </c>
      <c r="G13">
        <v>5.73</v>
      </c>
      <c r="H13">
        <v>21005</v>
      </c>
      <c r="I13">
        <v>63736</v>
      </c>
      <c r="J13">
        <v>3</v>
      </c>
      <c r="K13" t="s">
        <v>21</v>
      </c>
      <c r="L13" s="1">
        <v>44690</v>
      </c>
      <c r="M13" t="s">
        <v>22</v>
      </c>
      <c r="N13" t="s">
        <v>44</v>
      </c>
      <c r="O13">
        <v>8836.0910000000003</v>
      </c>
      <c r="P13">
        <v>803.28099999999995</v>
      </c>
      <c r="Q13">
        <v>0.38</v>
      </c>
    </row>
    <row r="14" spans="1:17">
      <c r="A14" t="s">
        <v>28</v>
      </c>
      <c r="B14" t="s">
        <v>34</v>
      </c>
      <c r="C14" t="s">
        <v>30</v>
      </c>
      <c r="D14" t="s">
        <v>20</v>
      </c>
      <c r="E14">
        <v>0.06</v>
      </c>
      <c r="F14">
        <v>5363.07</v>
      </c>
      <c r="G14">
        <v>1.9</v>
      </c>
      <c r="H14">
        <v>13758</v>
      </c>
      <c r="I14">
        <v>42272</v>
      </c>
      <c r="J14">
        <v>7</v>
      </c>
      <c r="K14" t="s">
        <v>21</v>
      </c>
      <c r="L14" s="1">
        <v>44772</v>
      </c>
      <c r="M14" t="s">
        <v>26</v>
      </c>
      <c r="N14" t="s">
        <v>23</v>
      </c>
      <c r="O14">
        <v>5899.3770000000004</v>
      </c>
      <c r="P14">
        <v>536.30700000000002</v>
      </c>
      <c r="Q14">
        <v>0.39</v>
      </c>
    </row>
    <row r="15" spans="1:17">
      <c r="A15" t="s">
        <v>55</v>
      </c>
      <c r="B15" t="s">
        <v>25</v>
      </c>
      <c r="C15" t="s">
        <v>35</v>
      </c>
      <c r="D15" t="s">
        <v>50</v>
      </c>
      <c r="E15">
        <v>0.08</v>
      </c>
      <c r="F15">
        <v>12193.26</v>
      </c>
      <c r="G15">
        <v>2.86</v>
      </c>
      <c r="H15">
        <v>32284</v>
      </c>
      <c r="I15">
        <v>97147</v>
      </c>
      <c r="J15">
        <v>1</v>
      </c>
      <c r="K15" t="s">
        <v>37</v>
      </c>
      <c r="L15" s="1">
        <v>44847</v>
      </c>
      <c r="M15" t="s">
        <v>56</v>
      </c>
      <c r="N15" t="s">
        <v>57</v>
      </c>
      <c r="O15">
        <v>13412.585999999999</v>
      </c>
      <c r="P15">
        <v>1219.326</v>
      </c>
      <c r="Q15">
        <v>0.38</v>
      </c>
    </row>
    <row r="16" spans="1:17">
      <c r="A16" t="s">
        <v>28</v>
      </c>
      <c r="B16" t="s">
        <v>25</v>
      </c>
      <c r="C16" t="s">
        <v>40</v>
      </c>
      <c r="D16" t="s">
        <v>50</v>
      </c>
      <c r="E16">
        <v>0.02</v>
      </c>
      <c r="F16">
        <v>9949.93</v>
      </c>
      <c r="G16">
        <v>3.11</v>
      </c>
      <c r="H16">
        <v>26210</v>
      </c>
      <c r="I16">
        <v>79156</v>
      </c>
      <c r="J16">
        <v>10</v>
      </c>
      <c r="K16" t="s">
        <v>53</v>
      </c>
      <c r="L16" s="1">
        <v>44870</v>
      </c>
      <c r="M16" t="s">
        <v>58</v>
      </c>
      <c r="N16" t="s">
        <v>41</v>
      </c>
      <c r="O16">
        <v>10944.923000000001</v>
      </c>
      <c r="P16">
        <v>994.99300000000005</v>
      </c>
      <c r="Q16">
        <v>0.38</v>
      </c>
    </row>
    <row r="17" spans="1:17">
      <c r="A17" t="s">
        <v>33</v>
      </c>
      <c r="B17" t="s">
        <v>18</v>
      </c>
      <c r="C17" t="s">
        <v>35</v>
      </c>
      <c r="D17" t="s">
        <v>50</v>
      </c>
      <c r="E17">
        <v>0.04</v>
      </c>
      <c r="F17">
        <v>12061.15</v>
      </c>
      <c r="G17">
        <v>0.03</v>
      </c>
      <c r="H17">
        <v>31924</v>
      </c>
      <c r="I17">
        <v>96078</v>
      </c>
      <c r="J17">
        <v>2</v>
      </c>
      <c r="K17" t="s">
        <v>51</v>
      </c>
      <c r="L17" s="1">
        <v>44607</v>
      </c>
      <c r="M17" t="s">
        <v>59</v>
      </c>
      <c r="N17" t="s">
        <v>60</v>
      </c>
      <c r="O17">
        <v>13267.264999999999</v>
      </c>
      <c r="P17">
        <v>1206.115</v>
      </c>
      <c r="Q17">
        <v>0.38</v>
      </c>
    </row>
    <row r="18" spans="1:17">
      <c r="A18" t="s">
        <v>39</v>
      </c>
      <c r="B18" t="s">
        <v>34</v>
      </c>
      <c r="C18" t="s">
        <v>35</v>
      </c>
      <c r="D18" t="s">
        <v>36</v>
      </c>
      <c r="E18">
        <v>0.05</v>
      </c>
      <c r="F18">
        <v>13305.5</v>
      </c>
      <c r="G18">
        <v>0.46</v>
      </c>
      <c r="H18">
        <v>35122</v>
      </c>
      <c r="I18">
        <v>105553</v>
      </c>
      <c r="J18">
        <v>6</v>
      </c>
      <c r="K18" t="s">
        <v>21</v>
      </c>
      <c r="L18" s="1">
        <v>44600</v>
      </c>
      <c r="M18" t="s">
        <v>61</v>
      </c>
      <c r="N18" t="s">
        <v>60</v>
      </c>
      <c r="O18">
        <v>14636.05</v>
      </c>
      <c r="P18">
        <v>1330.55</v>
      </c>
      <c r="Q18">
        <v>0.38</v>
      </c>
    </row>
    <row r="19" spans="1:17">
      <c r="A19" t="s">
        <v>55</v>
      </c>
      <c r="B19" t="s">
        <v>18</v>
      </c>
      <c r="C19" t="s">
        <v>40</v>
      </c>
      <c r="D19" t="s">
        <v>50</v>
      </c>
      <c r="E19">
        <v>0.08</v>
      </c>
      <c r="F19">
        <v>10519.22</v>
      </c>
      <c r="G19">
        <v>2.48</v>
      </c>
      <c r="H19">
        <v>27765</v>
      </c>
      <c r="I19">
        <v>83762</v>
      </c>
      <c r="J19">
        <v>2</v>
      </c>
      <c r="K19" t="s">
        <v>51</v>
      </c>
      <c r="L19" s="1">
        <v>44923</v>
      </c>
      <c r="M19" t="s">
        <v>62</v>
      </c>
      <c r="N19" t="s">
        <v>63</v>
      </c>
      <c r="O19">
        <v>11571.142</v>
      </c>
      <c r="P19">
        <v>1051.922</v>
      </c>
      <c r="Q19">
        <v>0.38</v>
      </c>
    </row>
    <row r="20" spans="1:17">
      <c r="A20" t="s">
        <v>49</v>
      </c>
      <c r="B20" t="s">
        <v>18</v>
      </c>
      <c r="C20" t="s">
        <v>35</v>
      </c>
      <c r="D20" t="s">
        <v>42</v>
      </c>
      <c r="E20">
        <v>0.06</v>
      </c>
      <c r="F20">
        <v>15000</v>
      </c>
      <c r="G20">
        <v>0.61846553229854795</v>
      </c>
      <c r="H20">
        <v>23407</v>
      </c>
      <c r="I20">
        <v>77198</v>
      </c>
      <c r="J20">
        <v>1</v>
      </c>
      <c r="K20" t="s">
        <v>37</v>
      </c>
      <c r="L20" s="1">
        <v>44599</v>
      </c>
      <c r="M20" t="s">
        <v>64</v>
      </c>
      <c r="N20" t="s">
        <v>60</v>
      </c>
      <c r="O20">
        <v>16500</v>
      </c>
      <c r="P20">
        <v>1500</v>
      </c>
      <c r="Q20">
        <v>0.64</v>
      </c>
    </row>
    <row r="21" spans="1:17">
      <c r="A21" t="s">
        <v>45</v>
      </c>
      <c r="B21" t="s">
        <v>34</v>
      </c>
      <c r="C21" t="s">
        <v>40</v>
      </c>
      <c r="D21" t="s">
        <v>42</v>
      </c>
      <c r="E21">
        <v>0.15</v>
      </c>
      <c r="F21">
        <v>11188.5</v>
      </c>
      <c r="G21">
        <v>3.5749452734020002E-3</v>
      </c>
      <c r="H21">
        <v>17379</v>
      </c>
      <c r="I21">
        <v>57571</v>
      </c>
      <c r="J21">
        <v>1</v>
      </c>
      <c r="K21" t="s">
        <v>37</v>
      </c>
      <c r="L21" s="1">
        <v>44825</v>
      </c>
      <c r="M21" t="s">
        <v>56</v>
      </c>
      <c r="N21" t="s">
        <v>65</v>
      </c>
      <c r="O21">
        <v>12307.35</v>
      </c>
      <c r="P21">
        <v>1118.8499999999999</v>
      </c>
      <c r="Q21">
        <v>0.64</v>
      </c>
    </row>
    <row r="22" spans="1:17">
      <c r="A22" t="s">
        <v>24</v>
      </c>
      <c r="B22" t="s">
        <v>29</v>
      </c>
      <c r="C22" t="s">
        <v>19</v>
      </c>
      <c r="D22" t="s">
        <v>36</v>
      </c>
      <c r="E22">
        <v>0.05</v>
      </c>
      <c r="F22">
        <v>4101.84</v>
      </c>
      <c r="G22">
        <v>6.51</v>
      </c>
      <c r="H22">
        <v>10319</v>
      </c>
      <c r="I22">
        <v>32086</v>
      </c>
      <c r="J22">
        <v>4</v>
      </c>
      <c r="K22" t="s">
        <v>21</v>
      </c>
      <c r="L22" s="1">
        <v>44875</v>
      </c>
      <c r="M22" t="s">
        <v>26</v>
      </c>
      <c r="N22" t="s">
        <v>41</v>
      </c>
      <c r="O22">
        <v>4512.0240000000003</v>
      </c>
      <c r="P22">
        <v>410.18400000000003</v>
      </c>
      <c r="Q22">
        <v>0.4</v>
      </c>
    </row>
    <row r="23" spans="1:17">
      <c r="A23" t="s">
        <v>49</v>
      </c>
      <c r="B23" t="s">
        <v>25</v>
      </c>
      <c r="C23" t="s">
        <v>35</v>
      </c>
      <c r="D23" t="s">
        <v>50</v>
      </c>
      <c r="E23">
        <v>0.02</v>
      </c>
      <c r="F23">
        <v>12805.48</v>
      </c>
      <c r="G23">
        <v>7.18</v>
      </c>
      <c r="H23">
        <v>33887</v>
      </c>
      <c r="I23">
        <v>101895</v>
      </c>
      <c r="J23">
        <v>6</v>
      </c>
      <c r="K23" t="s">
        <v>53</v>
      </c>
      <c r="L23" s="1">
        <v>44596</v>
      </c>
      <c r="M23" t="s">
        <v>66</v>
      </c>
      <c r="N23" t="s">
        <v>60</v>
      </c>
      <c r="O23">
        <v>14086.028</v>
      </c>
      <c r="P23">
        <v>1280.548</v>
      </c>
      <c r="Q23">
        <v>0.38</v>
      </c>
    </row>
    <row r="24" spans="1:17">
      <c r="A24" t="s">
        <v>67</v>
      </c>
      <c r="B24" t="s">
        <v>29</v>
      </c>
      <c r="C24" t="s">
        <v>19</v>
      </c>
      <c r="D24" t="s">
        <v>20</v>
      </c>
      <c r="E24">
        <v>7.0000000000000007E-2</v>
      </c>
      <c r="F24">
        <v>2763.95</v>
      </c>
      <c r="G24">
        <v>4.22</v>
      </c>
      <c r="H24">
        <v>6769</v>
      </c>
      <c r="I24">
        <v>21571</v>
      </c>
      <c r="J24">
        <v>2</v>
      </c>
      <c r="K24" t="s">
        <v>53</v>
      </c>
      <c r="L24" s="1">
        <v>44726</v>
      </c>
      <c r="M24" t="s">
        <v>68</v>
      </c>
      <c r="N24" t="s">
        <v>69</v>
      </c>
      <c r="O24">
        <v>3040.3449999999998</v>
      </c>
      <c r="P24">
        <v>276.39499999999998</v>
      </c>
      <c r="Q24">
        <v>0.41</v>
      </c>
    </row>
    <row r="25" spans="1:17">
      <c r="A25" t="s">
        <v>33</v>
      </c>
      <c r="B25" t="s">
        <v>18</v>
      </c>
      <c r="C25" t="s">
        <v>30</v>
      </c>
      <c r="D25" t="s">
        <v>36</v>
      </c>
      <c r="E25">
        <v>7.0000000000000007E-2</v>
      </c>
      <c r="F25">
        <v>4979.96</v>
      </c>
      <c r="G25">
        <v>4.22</v>
      </c>
      <c r="H25">
        <v>12715</v>
      </c>
      <c r="I25">
        <v>39181</v>
      </c>
      <c r="J25">
        <v>6</v>
      </c>
      <c r="K25" t="s">
        <v>37</v>
      </c>
      <c r="L25" s="1">
        <v>44610</v>
      </c>
      <c r="M25" t="s">
        <v>64</v>
      </c>
      <c r="N25" t="s">
        <v>60</v>
      </c>
      <c r="O25">
        <v>5477.9560000000001</v>
      </c>
      <c r="P25">
        <v>497.99599999999998</v>
      </c>
      <c r="Q25">
        <v>0.39</v>
      </c>
    </row>
    <row r="26" spans="1:17">
      <c r="A26" t="s">
        <v>28</v>
      </c>
      <c r="B26" t="s">
        <v>18</v>
      </c>
      <c r="C26" t="s">
        <v>30</v>
      </c>
      <c r="D26" t="s">
        <v>20</v>
      </c>
      <c r="E26">
        <v>0.14000000000000001</v>
      </c>
      <c r="F26">
        <v>6144.87</v>
      </c>
      <c r="G26">
        <v>7.44</v>
      </c>
      <c r="H26">
        <v>15892</v>
      </c>
      <c r="I26">
        <v>48592</v>
      </c>
      <c r="J26">
        <v>9</v>
      </c>
      <c r="K26" t="s">
        <v>46</v>
      </c>
      <c r="L26" s="1">
        <v>44797</v>
      </c>
      <c r="M26" t="s">
        <v>70</v>
      </c>
      <c r="N26" t="s">
        <v>32</v>
      </c>
      <c r="O26">
        <v>6759.357</v>
      </c>
      <c r="P26">
        <v>614.48700000000099</v>
      </c>
      <c r="Q26">
        <v>0.39</v>
      </c>
    </row>
    <row r="27" spans="1:17">
      <c r="A27" t="s">
        <v>45</v>
      </c>
      <c r="B27" t="s">
        <v>34</v>
      </c>
      <c r="C27" t="s">
        <v>40</v>
      </c>
      <c r="D27" t="s">
        <v>20</v>
      </c>
      <c r="E27">
        <v>7.0000000000000007E-2</v>
      </c>
      <c r="F27">
        <v>10579.97</v>
      </c>
      <c r="G27">
        <v>4.0199999999999996</v>
      </c>
      <c r="H27">
        <v>27933</v>
      </c>
      <c r="I27">
        <v>84257</v>
      </c>
      <c r="J27">
        <v>9</v>
      </c>
      <c r="K27" t="s">
        <v>21</v>
      </c>
      <c r="L27" s="1">
        <v>44756</v>
      </c>
      <c r="M27" t="s">
        <v>71</v>
      </c>
      <c r="N27" t="s">
        <v>23</v>
      </c>
      <c r="O27">
        <v>11637.967000000001</v>
      </c>
      <c r="P27">
        <v>1057.9970000000001</v>
      </c>
      <c r="Q27">
        <v>0.38</v>
      </c>
    </row>
    <row r="28" spans="1:17">
      <c r="A28" t="s">
        <v>55</v>
      </c>
      <c r="B28" t="s">
        <v>25</v>
      </c>
      <c r="C28" t="s">
        <v>30</v>
      </c>
      <c r="D28" t="s">
        <v>50</v>
      </c>
      <c r="E28">
        <v>0.08</v>
      </c>
      <c r="F28">
        <v>4171.6899999999996</v>
      </c>
      <c r="G28">
        <v>7.66</v>
      </c>
      <c r="H28">
        <v>10512</v>
      </c>
      <c r="I28">
        <v>32657</v>
      </c>
      <c r="J28">
        <v>2</v>
      </c>
      <c r="K28" t="s">
        <v>51</v>
      </c>
      <c r="L28" s="1">
        <v>44656</v>
      </c>
      <c r="M28" t="s">
        <v>72</v>
      </c>
      <c r="N28" t="s">
        <v>73</v>
      </c>
      <c r="O28">
        <v>4588.8590000000004</v>
      </c>
      <c r="P28">
        <v>417.16899999999998</v>
      </c>
      <c r="Q28">
        <v>0.4</v>
      </c>
    </row>
    <row r="29" spans="1:17">
      <c r="A29" t="s">
        <v>33</v>
      </c>
      <c r="B29" t="s">
        <v>34</v>
      </c>
      <c r="C29" t="s">
        <v>40</v>
      </c>
      <c r="D29" t="s">
        <v>50</v>
      </c>
      <c r="E29">
        <v>0.11</v>
      </c>
      <c r="F29">
        <v>10306.780000000001</v>
      </c>
      <c r="G29">
        <v>6.88</v>
      </c>
      <c r="H29">
        <v>27184</v>
      </c>
      <c r="I29">
        <v>82040</v>
      </c>
      <c r="J29">
        <v>3</v>
      </c>
      <c r="K29" t="s">
        <v>51</v>
      </c>
      <c r="L29" s="1">
        <v>44742</v>
      </c>
      <c r="M29" t="s">
        <v>59</v>
      </c>
      <c r="N29" t="s">
        <v>69</v>
      </c>
      <c r="O29">
        <v>11337.458000000001</v>
      </c>
      <c r="P29">
        <v>1030.6780000000001</v>
      </c>
      <c r="Q29">
        <v>0.38</v>
      </c>
    </row>
    <row r="30" spans="1:17">
      <c r="A30" t="s">
        <v>24</v>
      </c>
      <c r="B30" t="s">
        <v>29</v>
      </c>
      <c r="C30" t="s">
        <v>19</v>
      </c>
      <c r="D30" t="s">
        <v>36</v>
      </c>
      <c r="E30">
        <v>0.04</v>
      </c>
      <c r="F30">
        <v>3497.84</v>
      </c>
      <c r="G30">
        <v>7.94</v>
      </c>
      <c r="H30">
        <v>8681</v>
      </c>
      <c r="I30">
        <v>27232</v>
      </c>
      <c r="J30">
        <v>6</v>
      </c>
      <c r="K30" t="s">
        <v>21</v>
      </c>
      <c r="L30" s="1">
        <v>44685</v>
      </c>
      <c r="M30" t="s">
        <v>26</v>
      </c>
      <c r="N30" t="s">
        <v>44</v>
      </c>
      <c r="O30">
        <v>3847.6239999999998</v>
      </c>
      <c r="P30">
        <v>349.78399999999999</v>
      </c>
      <c r="Q30">
        <v>0.4</v>
      </c>
    </row>
    <row r="31" spans="1:17">
      <c r="A31" t="s">
        <v>45</v>
      </c>
      <c r="B31" t="s">
        <v>34</v>
      </c>
      <c r="C31" t="s">
        <v>35</v>
      </c>
      <c r="D31" t="s">
        <v>50</v>
      </c>
      <c r="E31">
        <v>0.02</v>
      </c>
      <c r="F31">
        <v>14169.26</v>
      </c>
      <c r="G31">
        <v>5.56</v>
      </c>
      <c r="H31">
        <v>37018</v>
      </c>
      <c r="I31">
        <v>111168</v>
      </c>
      <c r="J31">
        <v>5</v>
      </c>
      <c r="K31" t="s">
        <v>37</v>
      </c>
      <c r="L31" s="1">
        <v>44886</v>
      </c>
      <c r="M31" t="s">
        <v>74</v>
      </c>
      <c r="N31" t="s">
        <v>41</v>
      </c>
      <c r="O31">
        <v>15586.186</v>
      </c>
      <c r="P31">
        <v>1416.9259999999999</v>
      </c>
      <c r="Q31">
        <v>0.38</v>
      </c>
    </row>
    <row r="32" spans="1:17">
      <c r="A32" t="s">
        <v>24</v>
      </c>
      <c r="B32" t="s">
        <v>25</v>
      </c>
      <c r="C32" t="s">
        <v>19</v>
      </c>
      <c r="D32" t="s">
        <v>42</v>
      </c>
      <c r="E32">
        <v>0.05</v>
      </c>
      <c r="F32">
        <v>3597.5</v>
      </c>
      <c r="G32">
        <v>0.86871170143668897</v>
      </c>
      <c r="H32">
        <v>5257</v>
      </c>
      <c r="I32">
        <v>18100</v>
      </c>
      <c r="J32">
        <v>1</v>
      </c>
      <c r="K32" t="s">
        <v>51</v>
      </c>
      <c r="L32" s="1">
        <v>44904</v>
      </c>
      <c r="M32" t="s">
        <v>62</v>
      </c>
      <c r="N32" t="s">
        <v>63</v>
      </c>
      <c r="O32">
        <v>3957.25</v>
      </c>
      <c r="P32">
        <v>359.75</v>
      </c>
      <c r="Q32">
        <v>0.68</v>
      </c>
    </row>
    <row r="33" spans="1:17">
      <c r="A33" t="s">
        <v>55</v>
      </c>
      <c r="B33" t="s">
        <v>29</v>
      </c>
      <c r="C33" t="s">
        <v>35</v>
      </c>
      <c r="D33" t="s">
        <v>20</v>
      </c>
      <c r="E33">
        <v>0.08</v>
      </c>
      <c r="F33">
        <v>15000</v>
      </c>
      <c r="G33">
        <v>7.63</v>
      </c>
      <c r="H33">
        <v>39450</v>
      </c>
      <c r="I33">
        <v>118370</v>
      </c>
      <c r="J33">
        <v>6</v>
      </c>
      <c r="K33" t="s">
        <v>53</v>
      </c>
      <c r="L33" s="1">
        <v>44804</v>
      </c>
      <c r="M33" t="s">
        <v>58</v>
      </c>
      <c r="N33" t="s">
        <v>32</v>
      </c>
      <c r="O33">
        <v>16500</v>
      </c>
      <c r="P33">
        <v>1500</v>
      </c>
      <c r="Q33">
        <v>0.38</v>
      </c>
    </row>
    <row r="34" spans="1:17">
      <c r="A34" t="s">
        <v>24</v>
      </c>
      <c r="B34" t="s">
        <v>34</v>
      </c>
      <c r="C34" t="s">
        <v>19</v>
      </c>
      <c r="D34" t="s">
        <v>42</v>
      </c>
      <c r="E34">
        <v>0.08</v>
      </c>
      <c r="F34">
        <v>1646</v>
      </c>
      <c r="G34">
        <v>0.13048550247917301</v>
      </c>
      <c r="H34">
        <v>2411</v>
      </c>
      <c r="I34">
        <v>8833</v>
      </c>
      <c r="J34">
        <v>1</v>
      </c>
      <c r="K34" t="s">
        <v>51</v>
      </c>
      <c r="L34" s="1">
        <v>44670</v>
      </c>
      <c r="M34" t="s">
        <v>75</v>
      </c>
      <c r="N34" t="s">
        <v>73</v>
      </c>
      <c r="O34">
        <v>1810.6</v>
      </c>
      <c r="P34">
        <v>164.6</v>
      </c>
      <c r="Q34">
        <v>0.68</v>
      </c>
    </row>
    <row r="35" spans="1:17">
      <c r="A35" t="s">
        <v>33</v>
      </c>
      <c r="B35" t="s">
        <v>18</v>
      </c>
      <c r="C35" t="s">
        <v>40</v>
      </c>
      <c r="D35" t="s">
        <v>20</v>
      </c>
      <c r="E35">
        <v>0.06</v>
      </c>
      <c r="F35">
        <v>10346.33</v>
      </c>
      <c r="G35">
        <v>0.3</v>
      </c>
      <c r="H35">
        <v>27294</v>
      </c>
      <c r="I35">
        <v>82365</v>
      </c>
      <c r="J35">
        <v>7</v>
      </c>
      <c r="K35" t="s">
        <v>21</v>
      </c>
      <c r="L35" s="1">
        <v>44744</v>
      </c>
      <c r="M35" t="s">
        <v>48</v>
      </c>
      <c r="N35" t="s">
        <v>23</v>
      </c>
      <c r="O35">
        <v>11380.963</v>
      </c>
      <c r="P35">
        <v>1034.633</v>
      </c>
      <c r="Q35">
        <v>0.38</v>
      </c>
    </row>
    <row r="36" spans="1:17">
      <c r="A36" t="s">
        <v>33</v>
      </c>
      <c r="B36" t="s">
        <v>29</v>
      </c>
      <c r="C36" t="s">
        <v>35</v>
      </c>
      <c r="D36" t="s">
        <v>50</v>
      </c>
      <c r="E36">
        <v>0.04</v>
      </c>
      <c r="F36">
        <v>13391.74</v>
      </c>
      <c r="G36">
        <v>7.22</v>
      </c>
      <c r="H36">
        <v>35326</v>
      </c>
      <c r="I36">
        <v>106157</v>
      </c>
      <c r="J36">
        <v>10</v>
      </c>
      <c r="K36" t="s">
        <v>21</v>
      </c>
      <c r="L36" s="1">
        <v>44840</v>
      </c>
      <c r="M36" t="s">
        <v>31</v>
      </c>
      <c r="N36" t="s">
        <v>57</v>
      </c>
      <c r="O36">
        <v>14730.914000000001</v>
      </c>
      <c r="P36">
        <v>1339.174</v>
      </c>
      <c r="Q36">
        <v>0.38</v>
      </c>
    </row>
    <row r="37" spans="1:17">
      <c r="A37" t="s">
        <v>33</v>
      </c>
      <c r="B37" t="s">
        <v>29</v>
      </c>
      <c r="C37" t="s">
        <v>35</v>
      </c>
      <c r="D37" t="s">
        <v>36</v>
      </c>
      <c r="E37">
        <v>0.06</v>
      </c>
      <c r="F37">
        <v>15000</v>
      </c>
      <c r="G37">
        <v>0.28999999999999998</v>
      </c>
      <c r="H37">
        <v>39665</v>
      </c>
      <c r="I37">
        <v>119007</v>
      </c>
      <c r="J37">
        <v>6</v>
      </c>
      <c r="K37" t="s">
        <v>46</v>
      </c>
      <c r="L37" s="1">
        <v>44696</v>
      </c>
      <c r="M37" t="s">
        <v>76</v>
      </c>
      <c r="N37" t="s">
        <v>44</v>
      </c>
      <c r="O37">
        <v>16500</v>
      </c>
      <c r="P37">
        <v>1500</v>
      </c>
      <c r="Q37">
        <v>0.38</v>
      </c>
    </row>
    <row r="38" spans="1:17">
      <c r="A38" t="s">
        <v>49</v>
      </c>
      <c r="B38" t="s">
        <v>29</v>
      </c>
      <c r="C38" t="s">
        <v>30</v>
      </c>
      <c r="D38" t="s">
        <v>36</v>
      </c>
      <c r="E38">
        <v>0.12</v>
      </c>
      <c r="F38">
        <v>7172.75</v>
      </c>
      <c r="G38">
        <v>6.38</v>
      </c>
      <c r="H38">
        <v>18668</v>
      </c>
      <c r="I38">
        <v>56814</v>
      </c>
      <c r="J38">
        <v>9</v>
      </c>
      <c r="K38" t="s">
        <v>21</v>
      </c>
      <c r="L38" s="1">
        <v>44680</v>
      </c>
      <c r="M38" t="s">
        <v>77</v>
      </c>
      <c r="N38" t="s">
        <v>73</v>
      </c>
      <c r="O38">
        <v>7890.0249999999996</v>
      </c>
      <c r="P38">
        <v>717.27499999999998</v>
      </c>
      <c r="Q38">
        <v>0.38</v>
      </c>
    </row>
    <row r="39" spans="1:17">
      <c r="A39" t="s">
        <v>33</v>
      </c>
      <c r="B39" t="s">
        <v>18</v>
      </c>
      <c r="C39" t="s">
        <v>19</v>
      </c>
      <c r="D39" t="s">
        <v>20</v>
      </c>
      <c r="E39">
        <v>0.12</v>
      </c>
      <c r="F39">
        <v>2763.96</v>
      </c>
      <c r="G39">
        <v>3.69</v>
      </c>
      <c r="H39">
        <v>6770</v>
      </c>
      <c r="I39">
        <v>21572</v>
      </c>
      <c r="J39">
        <v>7</v>
      </c>
      <c r="K39" t="s">
        <v>53</v>
      </c>
      <c r="L39" s="1">
        <v>44737</v>
      </c>
      <c r="M39" t="s">
        <v>78</v>
      </c>
      <c r="N39" t="s">
        <v>69</v>
      </c>
      <c r="O39">
        <v>3040.3560000000002</v>
      </c>
      <c r="P39">
        <v>276.39600000000002</v>
      </c>
      <c r="Q39">
        <v>0.41</v>
      </c>
    </row>
    <row r="40" spans="1:17">
      <c r="A40" t="s">
        <v>28</v>
      </c>
      <c r="B40" t="s">
        <v>29</v>
      </c>
      <c r="C40" t="s">
        <v>19</v>
      </c>
      <c r="D40" t="s">
        <v>36</v>
      </c>
      <c r="E40">
        <v>0.06</v>
      </c>
      <c r="F40">
        <v>1285.22</v>
      </c>
      <c r="G40">
        <v>4.0599999999999996</v>
      </c>
      <c r="H40">
        <v>3384</v>
      </c>
      <c r="I40">
        <v>11545</v>
      </c>
      <c r="J40">
        <v>9</v>
      </c>
      <c r="K40" t="s">
        <v>51</v>
      </c>
      <c r="L40" s="1">
        <v>44785</v>
      </c>
      <c r="M40" t="s">
        <v>79</v>
      </c>
      <c r="N40" t="s">
        <v>32</v>
      </c>
      <c r="O40">
        <v>1413.742</v>
      </c>
      <c r="P40">
        <v>128.52199999999999</v>
      </c>
      <c r="Q40">
        <v>0.38</v>
      </c>
    </row>
    <row r="41" spans="1:17">
      <c r="A41" t="s">
        <v>67</v>
      </c>
      <c r="B41" t="s">
        <v>18</v>
      </c>
      <c r="C41" t="s">
        <v>30</v>
      </c>
      <c r="D41" t="s">
        <v>42</v>
      </c>
      <c r="E41">
        <v>0.12</v>
      </c>
      <c r="F41">
        <v>5048.26</v>
      </c>
      <c r="G41">
        <v>0.21807166167752201</v>
      </c>
      <c r="H41">
        <v>7576</v>
      </c>
      <c r="I41">
        <v>25651</v>
      </c>
      <c r="J41">
        <v>1</v>
      </c>
      <c r="K41" t="s">
        <v>21</v>
      </c>
      <c r="L41" s="1">
        <v>44644</v>
      </c>
      <c r="M41" t="s">
        <v>80</v>
      </c>
      <c r="N41" t="s">
        <v>81</v>
      </c>
      <c r="O41">
        <v>5553.0860000000002</v>
      </c>
      <c r="P41">
        <v>504.82600000000002</v>
      </c>
      <c r="Q41">
        <v>0.67</v>
      </c>
    </row>
    <row r="42" spans="1:17">
      <c r="A42" t="s">
        <v>17</v>
      </c>
      <c r="B42" t="s">
        <v>29</v>
      </c>
      <c r="C42" t="s">
        <v>19</v>
      </c>
      <c r="D42" t="s">
        <v>20</v>
      </c>
      <c r="E42">
        <v>0.11</v>
      </c>
      <c r="F42">
        <v>3789.47</v>
      </c>
      <c r="G42">
        <v>3.13</v>
      </c>
      <c r="H42">
        <v>9468</v>
      </c>
      <c r="I42">
        <v>29565</v>
      </c>
      <c r="J42">
        <v>10</v>
      </c>
      <c r="K42" t="s">
        <v>21</v>
      </c>
      <c r="L42" s="1">
        <v>44573</v>
      </c>
      <c r="M42" t="s">
        <v>77</v>
      </c>
      <c r="N42" t="s">
        <v>27</v>
      </c>
      <c r="O42">
        <v>4168.4170000000004</v>
      </c>
      <c r="P42">
        <v>378.947</v>
      </c>
      <c r="Q42">
        <v>0.4</v>
      </c>
    </row>
    <row r="43" spans="1:17">
      <c r="A43" t="s">
        <v>28</v>
      </c>
      <c r="B43" t="s">
        <v>29</v>
      </c>
      <c r="C43" t="s">
        <v>19</v>
      </c>
      <c r="D43" t="s">
        <v>42</v>
      </c>
      <c r="E43">
        <v>0.12</v>
      </c>
      <c r="F43">
        <v>2339.0700000000002</v>
      </c>
      <c r="G43">
        <v>0.26812089550515</v>
      </c>
      <c r="H43">
        <v>3359</v>
      </c>
      <c r="I43">
        <v>11919</v>
      </c>
      <c r="J43">
        <v>1</v>
      </c>
      <c r="K43" t="s">
        <v>53</v>
      </c>
      <c r="L43" s="1">
        <v>44569</v>
      </c>
      <c r="M43" t="s">
        <v>82</v>
      </c>
      <c r="N43" t="s">
        <v>27</v>
      </c>
      <c r="O43">
        <v>2572.9769999999999</v>
      </c>
      <c r="P43">
        <v>233.90700000000001</v>
      </c>
      <c r="Q43">
        <v>0.7</v>
      </c>
    </row>
    <row r="44" spans="1:17">
      <c r="A44" t="s">
        <v>24</v>
      </c>
      <c r="B44" t="s">
        <v>29</v>
      </c>
      <c r="C44" t="s">
        <v>19</v>
      </c>
      <c r="D44" t="s">
        <v>20</v>
      </c>
      <c r="E44">
        <v>0.13</v>
      </c>
      <c r="F44">
        <v>4062.11</v>
      </c>
      <c r="G44">
        <v>5.03</v>
      </c>
      <c r="H44">
        <v>10206</v>
      </c>
      <c r="I44">
        <v>31751</v>
      </c>
      <c r="J44">
        <v>8</v>
      </c>
      <c r="K44" t="s">
        <v>53</v>
      </c>
      <c r="L44" s="1">
        <v>44607</v>
      </c>
      <c r="M44" t="s">
        <v>83</v>
      </c>
      <c r="N44" t="s">
        <v>60</v>
      </c>
      <c r="O44">
        <v>4468.3209999999999</v>
      </c>
      <c r="P44">
        <v>406.21100000000001</v>
      </c>
      <c r="Q44">
        <v>0.4</v>
      </c>
    </row>
    <row r="45" spans="1:17">
      <c r="A45" t="s">
        <v>17</v>
      </c>
      <c r="B45" t="s">
        <v>34</v>
      </c>
      <c r="C45" t="s">
        <v>30</v>
      </c>
      <c r="D45" t="s">
        <v>20</v>
      </c>
      <c r="E45">
        <v>0.05</v>
      </c>
      <c r="F45">
        <v>6953.6</v>
      </c>
      <c r="G45">
        <v>1.82</v>
      </c>
      <c r="H45">
        <v>18071</v>
      </c>
      <c r="I45">
        <v>55048</v>
      </c>
      <c r="J45">
        <v>2</v>
      </c>
      <c r="K45" t="s">
        <v>53</v>
      </c>
      <c r="L45" s="1">
        <v>44568</v>
      </c>
      <c r="M45" t="s">
        <v>84</v>
      </c>
      <c r="N45" t="s">
        <v>27</v>
      </c>
      <c r="O45">
        <v>7648.96</v>
      </c>
      <c r="P45">
        <v>695.36</v>
      </c>
      <c r="Q45">
        <v>0.38</v>
      </c>
    </row>
    <row r="46" spans="1:17">
      <c r="A46" t="s">
        <v>67</v>
      </c>
      <c r="B46" t="s">
        <v>29</v>
      </c>
      <c r="C46" t="s">
        <v>19</v>
      </c>
      <c r="D46" t="s">
        <v>36</v>
      </c>
      <c r="E46">
        <v>7.0000000000000007E-2</v>
      </c>
      <c r="F46">
        <v>1851.04</v>
      </c>
      <c r="G46">
        <v>5.23</v>
      </c>
      <c r="H46">
        <v>4550</v>
      </c>
      <c r="I46">
        <v>14997</v>
      </c>
      <c r="J46">
        <v>2</v>
      </c>
      <c r="K46" t="s">
        <v>51</v>
      </c>
      <c r="L46" s="1">
        <v>44700</v>
      </c>
      <c r="M46" t="s">
        <v>85</v>
      </c>
      <c r="N46" t="s">
        <v>44</v>
      </c>
      <c r="O46">
        <v>2036.144</v>
      </c>
      <c r="P46">
        <v>185.10400000000001</v>
      </c>
      <c r="Q46">
        <v>0.41</v>
      </c>
    </row>
    <row r="47" spans="1:17">
      <c r="A47" t="s">
        <v>28</v>
      </c>
      <c r="B47" t="s">
        <v>18</v>
      </c>
      <c r="C47" t="s">
        <v>19</v>
      </c>
      <c r="D47" t="s">
        <v>50</v>
      </c>
      <c r="E47">
        <v>0.08</v>
      </c>
      <c r="F47">
        <v>3296.33</v>
      </c>
      <c r="G47">
        <v>7.1</v>
      </c>
      <c r="H47">
        <v>8149</v>
      </c>
      <c r="I47">
        <v>25657</v>
      </c>
      <c r="J47">
        <v>4</v>
      </c>
      <c r="K47" t="s">
        <v>37</v>
      </c>
      <c r="L47" s="1">
        <v>44582</v>
      </c>
      <c r="M47" t="s">
        <v>74</v>
      </c>
      <c r="N47" t="s">
        <v>27</v>
      </c>
      <c r="O47">
        <v>3625.9630000000002</v>
      </c>
      <c r="P47">
        <v>329.63299999999998</v>
      </c>
      <c r="Q47">
        <v>0.4</v>
      </c>
    </row>
    <row r="48" spans="1:17">
      <c r="A48" t="s">
        <v>28</v>
      </c>
      <c r="B48" t="s">
        <v>18</v>
      </c>
      <c r="C48" t="s">
        <v>30</v>
      </c>
      <c r="D48" t="s">
        <v>36</v>
      </c>
      <c r="E48">
        <v>0.12</v>
      </c>
      <c r="F48">
        <v>6641.43</v>
      </c>
      <c r="G48">
        <v>5.44</v>
      </c>
      <c r="H48">
        <v>17218</v>
      </c>
      <c r="I48">
        <v>52521</v>
      </c>
      <c r="J48">
        <v>7</v>
      </c>
      <c r="K48" t="s">
        <v>53</v>
      </c>
      <c r="L48" s="1">
        <v>44834</v>
      </c>
      <c r="M48" t="s">
        <v>78</v>
      </c>
      <c r="N48" t="s">
        <v>65</v>
      </c>
      <c r="O48">
        <v>7305.5730000000003</v>
      </c>
      <c r="P48">
        <v>664.14300000000003</v>
      </c>
      <c r="Q48">
        <v>0.39</v>
      </c>
    </row>
    <row r="49" spans="1:17">
      <c r="A49" t="s">
        <v>33</v>
      </c>
      <c r="B49" t="s">
        <v>18</v>
      </c>
      <c r="C49" t="s">
        <v>30</v>
      </c>
      <c r="D49" t="s">
        <v>36</v>
      </c>
      <c r="E49">
        <v>0.06</v>
      </c>
      <c r="F49">
        <v>7739.13</v>
      </c>
      <c r="G49">
        <v>0.76</v>
      </c>
      <c r="H49">
        <v>20202</v>
      </c>
      <c r="I49">
        <v>61358</v>
      </c>
      <c r="J49">
        <v>5</v>
      </c>
      <c r="K49" t="s">
        <v>21</v>
      </c>
      <c r="L49" s="1">
        <v>44585</v>
      </c>
      <c r="M49" t="s">
        <v>22</v>
      </c>
      <c r="N49" t="s">
        <v>27</v>
      </c>
      <c r="O49">
        <v>8513.0429999999997</v>
      </c>
      <c r="P49">
        <v>773.91300000000103</v>
      </c>
      <c r="Q49">
        <v>0.38</v>
      </c>
    </row>
    <row r="50" spans="1:17">
      <c r="A50" t="s">
        <v>55</v>
      </c>
      <c r="B50" t="s">
        <v>34</v>
      </c>
      <c r="C50" t="s">
        <v>19</v>
      </c>
      <c r="D50" t="s">
        <v>50</v>
      </c>
      <c r="E50">
        <v>0.14000000000000001</v>
      </c>
      <c r="F50">
        <v>1671.35</v>
      </c>
      <c r="G50">
        <v>1.92</v>
      </c>
      <c r="H50">
        <v>4161</v>
      </c>
      <c r="I50">
        <v>13845</v>
      </c>
      <c r="J50">
        <v>7</v>
      </c>
      <c r="K50" t="s">
        <v>53</v>
      </c>
      <c r="L50" s="1">
        <v>44713</v>
      </c>
      <c r="M50" t="s">
        <v>58</v>
      </c>
      <c r="N50" t="s">
        <v>69</v>
      </c>
      <c r="O50">
        <v>1838.4849999999999</v>
      </c>
      <c r="P50">
        <v>167.13499999999999</v>
      </c>
      <c r="Q50">
        <v>0.4</v>
      </c>
    </row>
    <row r="51" spans="1:17">
      <c r="A51" t="s">
        <v>39</v>
      </c>
      <c r="B51" t="s">
        <v>18</v>
      </c>
      <c r="C51" t="s">
        <v>35</v>
      </c>
      <c r="D51" t="s">
        <v>42</v>
      </c>
      <c r="E51">
        <v>0.1</v>
      </c>
      <c r="F51">
        <v>13831.03</v>
      </c>
      <c r="G51">
        <v>0.47725519399916799</v>
      </c>
      <c r="H51">
        <v>21327</v>
      </c>
      <c r="I51">
        <v>70426</v>
      </c>
      <c r="J51">
        <v>1</v>
      </c>
      <c r="K51" t="s">
        <v>53</v>
      </c>
      <c r="L51" s="1">
        <v>44879</v>
      </c>
      <c r="M51" t="s">
        <v>66</v>
      </c>
      <c r="N51" t="s">
        <v>41</v>
      </c>
      <c r="O51">
        <v>15214.133</v>
      </c>
      <c r="P51">
        <v>1383.1030000000001</v>
      </c>
      <c r="Q51">
        <v>0.65</v>
      </c>
    </row>
    <row r="52" spans="1:17">
      <c r="A52" t="s">
        <v>17</v>
      </c>
      <c r="B52" t="s">
        <v>29</v>
      </c>
      <c r="C52" t="s">
        <v>30</v>
      </c>
      <c r="D52" t="s">
        <v>42</v>
      </c>
      <c r="E52">
        <v>0.08</v>
      </c>
      <c r="F52">
        <v>6032.62</v>
      </c>
      <c r="G52">
        <v>1.16364468649235</v>
      </c>
      <c r="H52">
        <v>9157</v>
      </c>
      <c r="I52">
        <v>30797</v>
      </c>
      <c r="J52">
        <v>1</v>
      </c>
      <c r="K52" t="s">
        <v>46</v>
      </c>
      <c r="L52" s="1">
        <v>44831</v>
      </c>
      <c r="M52" t="s">
        <v>86</v>
      </c>
      <c r="N52" t="s">
        <v>65</v>
      </c>
      <c r="O52">
        <v>6635.8819999999996</v>
      </c>
      <c r="P52">
        <v>603.26199999999994</v>
      </c>
      <c r="Q52">
        <v>0.66</v>
      </c>
    </row>
    <row r="53" spans="1:17">
      <c r="A53" t="s">
        <v>45</v>
      </c>
      <c r="B53" t="s">
        <v>25</v>
      </c>
      <c r="C53" t="s">
        <v>40</v>
      </c>
      <c r="D53" t="s">
        <v>42</v>
      </c>
      <c r="E53">
        <v>7.0000000000000007E-2</v>
      </c>
      <c r="F53">
        <v>9724.7999999999993</v>
      </c>
      <c r="G53">
        <v>0.31638265669607801</v>
      </c>
      <c r="H53">
        <v>15039</v>
      </c>
      <c r="I53">
        <v>49953</v>
      </c>
      <c r="J53">
        <v>1</v>
      </c>
      <c r="K53" t="s">
        <v>53</v>
      </c>
      <c r="L53" s="1">
        <v>44683</v>
      </c>
      <c r="M53" t="s">
        <v>78</v>
      </c>
      <c r="N53" t="s">
        <v>44</v>
      </c>
      <c r="O53">
        <v>10697.28</v>
      </c>
      <c r="P53">
        <v>972.48000000000104</v>
      </c>
      <c r="Q53">
        <v>0.65</v>
      </c>
    </row>
    <row r="54" spans="1:17">
      <c r="A54" t="s">
        <v>33</v>
      </c>
      <c r="B54" t="s">
        <v>34</v>
      </c>
      <c r="C54" t="s">
        <v>40</v>
      </c>
      <c r="D54" t="s">
        <v>36</v>
      </c>
      <c r="E54">
        <v>0.06</v>
      </c>
      <c r="F54">
        <v>11134.04</v>
      </c>
      <c r="G54">
        <v>3.37</v>
      </c>
      <c r="H54">
        <v>29442</v>
      </c>
      <c r="I54">
        <v>88727</v>
      </c>
      <c r="J54">
        <v>10</v>
      </c>
      <c r="K54" t="s">
        <v>46</v>
      </c>
      <c r="L54" s="1">
        <v>44740</v>
      </c>
      <c r="M54" t="s">
        <v>47</v>
      </c>
      <c r="N54" t="s">
        <v>69</v>
      </c>
      <c r="O54">
        <v>12247.444</v>
      </c>
      <c r="P54">
        <v>1113.404</v>
      </c>
      <c r="Q54">
        <v>0.38</v>
      </c>
    </row>
    <row r="55" spans="1:17">
      <c r="A55" t="s">
        <v>39</v>
      </c>
      <c r="B55" t="s">
        <v>29</v>
      </c>
      <c r="C55" t="s">
        <v>19</v>
      </c>
      <c r="D55" t="s">
        <v>20</v>
      </c>
      <c r="E55">
        <v>0.04</v>
      </c>
      <c r="F55">
        <v>3743.38</v>
      </c>
      <c r="G55">
        <v>0.84</v>
      </c>
      <c r="H55">
        <v>9343</v>
      </c>
      <c r="I55">
        <v>29194</v>
      </c>
      <c r="J55">
        <v>5</v>
      </c>
      <c r="K55" t="s">
        <v>46</v>
      </c>
      <c r="L55" s="1">
        <v>44708</v>
      </c>
      <c r="M55" t="s">
        <v>87</v>
      </c>
      <c r="N55" t="s">
        <v>44</v>
      </c>
      <c r="O55">
        <v>4117.7179999999998</v>
      </c>
      <c r="P55">
        <v>374.33800000000002</v>
      </c>
      <c r="Q55">
        <v>0.4</v>
      </c>
    </row>
    <row r="56" spans="1:17">
      <c r="A56" t="s">
        <v>24</v>
      </c>
      <c r="B56" t="s">
        <v>25</v>
      </c>
      <c r="C56" t="s">
        <v>30</v>
      </c>
      <c r="D56" t="s">
        <v>42</v>
      </c>
      <c r="E56">
        <v>0.11</v>
      </c>
      <c r="F56">
        <v>4553.08</v>
      </c>
      <c r="G56">
        <v>0.90624862680741003</v>
      </c>
      <c r="H56">
        <v>6785</v>
      </c>
      <c r="I56">
        <v>23077</v>
      </c>
      <c r="J56">
        <v>1</v>
      </c>
      <c r="K56" t="s">
        <v>53</v>
      </c>
      <c r="L56" s="1">
        <v>44640</v>
      </c>
      <c r="M56" t="s">
        <v>54</v>
      </c>
      <c r="N56" t="s">
        <v>81</v>
      </c>
      <c r="O56">
        <v>5008.3879999999999</v>
      </c>
      <c r="P56">
        <v>455.30799999999999</v>
      </c>
      <c r="Q56">
        <v>0.67</v>
      </c>
    </row>
    <row r="57" spans="1:17">
      <c r="A57" t="s">
        <v>28</v>
      </c>
      <c r="B57" t="s">
        <v>18</v>
      </c>
      <c r="C57" t="s">
        <v>35</v>
      </c>
      <c r="D57" t="s">
        <v>36</v>
      </c>
      <c r="E57">
        <v>0.08</v>
      </c>
      <c r="F57">
        <v>12833.42</v>
      </c>
      <c r="G57">
        <v>0.97</v>
      </c>
      <c r="H57">
        <v>33959</v>
      </c>
      <c r="I57">
        <v>102107</v>
      </c>
      <c r="J57">
        <v>10</v>
      </c>
      <c r="K57" t="s">
        <v>21</v>
      </c>
      <c r="L57" s="1">
        <v>44865</v>
      </c>
      <c r="M57" t="s">
        <v>26</v>
      </c>
      <c r="N57" t="s">
        <v>57</v>
      </c>
      <c r="O57">
        <v>14116.762000000001</v>
      </c>
      <c r="P57">
        <v>1283.3420000000001</v>
      </c>
      <c r="Q57">
        <v>0.38</v>
      </c>
    </row>
    <row r="58" spans="1:17">
      <c r="A58" t="s">
        <v>49</v>
      </c>
      <c r="B58" t="s">
        <v>34</v>
      </c>
      <c r="C58" t="s">
        <v>30</v>
      </c>
      <c r="D58" t="s">
        <v>36</v>
      </c>
      <c r="E58">
        <v>0.13</v>
      </c>
      <c r="F58">
        <v>7341.46</v>
      </c>
      <c r="G58">
        <v>2.0499999999999998</v>
      </c>
      <c r="H58">
        <v>19114</v>
      </c>
      <c r="I58">
        <v>58137</v>
      </c>
      <c r="J58">
        <v>9</v>
      </c>
      <c r="K58" t="s">
        <v>21</v>
      </c>
      <c r="L58" s="1">
        <v>44621</v>
      </c>
      <c r="M58" t="s">
        <v>61</v>
      </c>
      <c r="N58" t="s">
        <v>81</v>
      </c>
      <c r="O58">
        <v>8075.6059999999998</v>
      </c>
      <c r="P58">
        <v>734.14599999999996</v>
      </c>
      <c r="Q58">
        <v>0.38</v>
      </c>
    </row>
    <row r="59" spans="1:17">
      <c r="A59" t="s">
        <v>24</v>
      </c>
      <c r="B59" t="s">
        <v>25</v>
      </c>
      <c r="C59" t="s">
        <v>40</v>
      </c>
      <c r="D59" t="s">
        <v>42</v>
      </c>
      <c r="E59">
        <v>0.02</v>
      </c>
      <c r="F59">
        <v>7841.99</v>
      </c>
      <c r="G59">
        <v>1.15828226858225</v>
      </c>
      <c r="H59">
        <v>12029</v>
      </c>
      <c r="I59">
        <v>40148</v>
      </c>
      <c r="J59">
        <v>1</v>
      </c>
      <c r="K59" t="s">
        <v>53</v>
      </c>
      <c r="L59" s="1">
        <v>44667</v>
      </c>
      <c r="M59" t="s">
        <v>68</v>
      </c>
      <c r="N59" t="s">
        <v>73</v>
      </c>
      <c r="O59">
        <v>8626.1890000000003</v>
      </c>
      <c r="P59">
        <v>784.19899999999996</v>
      </c>
      <c r="Q59">
        <v>0.65</v>
      </c>
    </row>
    <row r="60" spans="1:17">
      <c r="A60" t="s">
        <v>28</v>
      </c>
      <c r="B60" t="s">
        <v>25</v>
      </c>
      <c r="C60" t="s">
        <v>30</v>
      </c>
      <c r="D60" t="s">
        <v>36</v>
      </c>
      <c r="E60">
        <v>0.13</v>
      </c>
      <c r="F60">
        <v>6543.07</v>
      </c>
      <c r="G60">
        <v>7.34</v>
      </c>
      <c r="H60">
        <v>16960</v>
      </c>
      <c r="I60">
        <v>51755</v>
      </c>
      <c r="J60">
        <v>4</v>
      </c>
      <c r="K60" t="s">
        <v>51</v>
      </c>
      <c r="L60" s="1">
        <v>44858</v>
      </c>
      <c r="M60" t="s">
        <v>59</v>
      </c>
      <c r="N60" t="s">
        <v>57</v>
      </c>
      <c r="O60">
        <v>7197.3770000000004</v>
      </c>
      <c r="P60">
        <v>654.30700000000002</v>
      </c>
      <c r="Q60">
        <v>0.39</v>
      </c>
    </row>
    <row r="61" spans="1:17">
      <c r="A61" t="s">
        <v>55</v>
      </c>
      <c r="B61" t="s">
        <v>25</v>
      </c>
      <c r="C61" t="s">
        <v>35</v>
      </c>
      <c r="D61" t="s">
        <v>20</v>
      </c>
      <c r="E61">
        <v>0.11</v>
      </c>
      <c r="F61">
        <v>13927.37</v>
      </c>
      <c r="G61">
        <v>5.16</v>
      </c>
      <c r="H61">
        <v>36517</v>
      </c>
      <c r="I61">
        <v>109685</v>
      </c>
      <c r="J61">
        <v>10</v>
      </c>
      <c r="K61" t="s">
        <v>53</v>
      </c>
      <c r="L61" s="1">
        <v>44887</v>
      </c>
      <c r="M61" t="s">
        <v>82</v>
      </c>
      <c r="N61" t="s">
        <v>41</v>
      </c>
      <c r="O61">
        <v>15320.107</v>
      </c>
      <c r="P61">
        <v>1392.7370000000001</v>
      </c>
      <c r="Q61">
        <v>0.38</v>
      </c>
    </row>
    <row r="62" spans="1:17">
      <c r="A62" t="s">
        <v>17</v>
      </c>
      <c r="B62" t="s">
        <v>25</v>
      </c>
      <c r="C62" t="s">
        <v>40</v>
      </c>
      <c r="D62" t="s">
        <v>36</v>
      </c>
      <c r="E62">
        <v>0.04</v>
      </c>
      <c r="F62">
        <v>10266.209999999999</v>
      </c>
      <c r="G62">
        <v>2.46</v>
      </c>
      <c r="H62">
        <v>27077</v>
      </c>
      <c r="I62">
        <v>81722</v>
      </c>
      <c r="J62">
        <v>4</v>
      </c>
      <c r="K62" t="s">
        <v>46</v>
      </c>
      <c r="L62" s="1">
        <v>44725</v>
      </c>
      <c r="M62" t="s">
        <v>88</v>
      </c>
      <c r="N62" t="s">
        <v>69</v>
      </c>
      <c r="O62">
        <v>11292.831</v>
      </c>
      <c r="P62">
        <v>1026.6210000000001</v>
      </c>
      <c r="Q62">
        <v>0.38</v>
      </c>
    </row>
    <row r="63" spans="1:17">
      <c r="A63" t="s">
        <v>17</v>
      </c>
      <c r="B63" t="s">
        <v>29</v>
      </c>
      <c r="C63" t="s">
        <v>30</v>
      </c>
      <c r="D63" t="s">
        <v>20</v>
      </c>
      <c r="E63">
        <v>0.1</v>
      </c>
      <c r="F63">
        <v>5302.23</v>
      </c>
      <c r="G63">
        <v>1.18</v>
      </c>
      <c r="H63">
        <v>13602</v>
      </c>
      <c r="I63">
        <v>41809</v>
      </c>
      <c r="J63">
        <v>3</v>
      </c>
      <c r="K63" t="s">
        <v>51</v>
      </c>
      <c r="L63" s="1">
        <v>44611</v>
      </c>
      <c r="M63" t="s">
        <v>62</v>
      </c>
      <c r="N63" t="s">
        <v>60</v>
      </c>
      <c r="O63">
        <v>5832.4530000000004</v>
      </c>
      <c r="P63">
        <v>530.22299999999996</v>
      </c>
      <c r="Q63">
        <v>0.39</v>
      </c>
    </row>
    <row r="64" spans="1:17">
      <c r="A64" t="s">
        <v>67</v>
      </c>
      <c r="B64" t="s">
        <v>34</v>
      </c>
      <c r="C64" t="s">
        <v>19</v>
      </c>
      <c r="D64" t="s">
        <v>42</v>
      </c>
      <c r="E64">
        <v>0.12</v>
      </c>
      <c r="F64">
        <v>1501.79</v>
      </c>
      <c r="G64">
        <v>0.66315234821607305</v>
      </c>
      <c r="H64">
        <v>2237</v>
      </c>
      <c r="I64">
        <v>8266</v>
      </c>
      <c r="J64">
        <v>1</v>
      </c>
      <c r="K64" t="s">
        <v>53</v>
      </c>
      <c r="L64" s="1">
        <v>44666</v>
      </c>
      <c r="M64" t="s">
        <v>66</v>
      </c>
      <c r="N64" t="s">
        <v>73</v>
      </c>
      <c r="O64">
        <v>1651.9690000000001</v>
      </c>
      <c r="P64">
        <v>150.179</v>
      </c>
      <c r="Q64">
        <v>0.67</v>
      </c>
    </row>
    <row r="65" spans="1:17">
      <c r="A65" t="s">
        <v>39</v>
      </c>
      <c r="B65" t="s">
        <v>29</v>
      </c>
      <c r="C65" t="s">
        <v>19</v>
      </c>
      <c r="D65" t="s">
        <v>50</v>
      </c>
      <c r="E65">
        <v>7.0000000000000007E-2</v>
      </c>
      <c r="F65">
        <v>500</v>
      </c>
      <c r="G65">
        <v>7.25</v>
      </c>
      <c r="H65">
        <v>1501</v>
      </c>
      <c r="I65">
        <v>5965</v>
      </c>
      <c r="J65">
        <v>10</v>
      </c>
      <c r="K65" t="s">
        <v>51</v>
      </c>
      <c r="L65" s="1">
        <v>44671</v>
      </c>
      <c r="M65" t="s">
        <v>85</v>
      </c>
      <c r="N65" t="s">
        <v>73</v>
      </c>
      <c r="O65">
        <v>550</v>
      </c>
      <c r="P65">
        <v>50</v>
      </c>
      <c r="Q65">
        <v>0.33</v>
      </c>
    </row>
    <row r="66" spans="1:17">
      <c r="A66" t="s">
        <v>49</v>
      </c>
      <c r="B66" t="s">
        <v>25</v>
      </c>
      <c r="C66" t="s">
        <v>30</v>
      </c>
      <c r="D66" t="s">
        <v>20</v>
      </c>
      <c r="E66">
        <v>0.1</v>
      </c>
      <c r="F66">
        <v>4559.79</v>
      </c>
      <c r="G66">
        <v>0.92</v>
      </c>
      <c r="H66">
        <v>11572</v>
      </c>
      <c r="I66">
        <v>35797</v>
      </c>
      <c r="J66">
        <v>10</v>
      </c>
      <c r="K66" t="s">
        <v>51</v>
      </c>
      <c r="L66" s="1">
        <v>44637</v>
      </c>
      <c r="M66" t="s">
        <v>72</v>
      </c>
      <c r="N66" t="s">
        <v>81</v>
      </c>
      <c r="O66">
        <v>5015.7690000000002</v>
      </c>
      <c r="P66">
        <v>455.97899999999998</v>
      </c>
      <c r="Q66">
        <v>0.39</v>
      </c>
    </row>
    <row r="67" spans="1:17">
      <c r="A67" t="s">
        <v>67</v>
      </c>
      <c r="B67" t="s">
        <v>18</v>
      </c>
      <c r="C67" t="s">
        <v>30</v>
      </c>
      <c r="D67" t="s">
        <v>36</v>
      </c>
      <c r="E67">
        <v>0.09</v>
      </c>
      <c r="F67">
        <v>4558.6400000000003</v>
      </c>
      <c r="G67">
        <v>5.13</v>
      </c>
      <c r="H67">
        <v>11569</v>
      </c>
      <c r="I67">
        <v>35787</v>
      </c>
      <c r="J67">
        <v>8</v>
      </c>
      <c r="K67" t="s">
        <v>21</v>
      </c>
      <c r="L67" s="1">
        <v>44757</v>
      </c>
      <c r="M67" t="s">
        <v>80</v>
      </c>
      <c r="N67" t="s">
        <v>23</v>
      </c>
      <c r="O67">
        <v>5014.5039999999999</v>
      </c>
      <c r="P67">
        <v>455.86399999999998</v>
      </c>
      <c r="Q67">
        <v>0.39</v>
      </c>
    </row>
    <row r="68" spans="1:17">
      <c r="A68" t="s">
        <v>33</v>
      </c>
      <c r="B68" t="s">
        <v>18</v>
      </c>
      <c r="C68" t="s">
        <v>40</v>
      </c>
      <c r="D68" t="s">
        <v>36</v>
      </c>
      <c r="E68">
        <v>0.01</v>
      </c>
      <c r="F68">
        <v>7813.24</v>
      </c>
      <c r="G68">
        <v>1.42</v>
      </c>
      <c r="H68">
        <v>20405</v>
      </c>
      <c r="I68">
        <v>61959</v>
      </c>
      <c r="J68">
        <v>1</v>
      </c>
      <c r="K68" t="s">
        <v>37</v>
      </c>
      <c r="L68" s="1">
        <v>44590</v>
      </c>
      <c r="M68" t="s">
        <v>89</v>
      </c>
      <c r="N68" t="s">
        <v>27</v>
      </c>
      <c r="O68">
        <v>8594.5640000000003</v>
      </c>
      <c r="P68">
        <v>781.32399999999996</v>
      </c>
      <c r="Q68">
        <v>0.38</v>
      </c>
    </row>
    <row r="69" spans="1:17">
      <c r="A69" t="s">
        <v>45</v>
      </c>
      <c r="B69" t="s">
        <v>34</v>
      </c>
      <c r="C69" t="s">
        <v>35</v>
      </c>
      <c r="D69" t="s">
        <v>36</v>
      </c>
      <c r="E69">
        <v>0.11</v>
      </c>
      <c r="F69">
        <v>15000</v>
      </c>
      <c r="G69">
        <v>5.98</v>
      </c>
      <c r="H69">
        <v>39220</v>
      </c>
      <c r="I69">
        <v>117691</v>
      </c>
      <c r="J69">
        <v>8</v>
      </c>
      <c r="K69" t="s">
        <v>21</v>
      </c>
      <c r="L69" s="1">
        <v>44866</v>
      </c>
      <c r="M69" t="s">
        <v>71</v>
      </c>
      <c r="N69" t="s">
        <v>41</v>
      </c>
      <c r="O69">
        <v>16500</v>
      </c>
      <c r="P69">
        <v>1500</v>
      </c>
      <c r="Q69">
        <v>0.38</v>
      </c>
    </row>
    <row r="70" spans="1:17">
      <c r="A70" t="s">
        <v>17</v>
      </c>
      <c r="B70" t="s">
        <v>29</v>
      </c>
      <c r="C70" t="s">
        <v>30</v>
      </c>
      <c r="D70" t="s">
        <v>50</v>
      </c>
      <c r="E70">
        <v>0.14000000000000001</v>
      </c>
      <c r="F70">
        <v>4781.76</v>
      </c>
      <c r="G70">
        <v>2.68</v>
      </c>
      <c r="H70">
        <v>12178</v>
      </c>
      <c r="I70">
        <v>37590</v>
      </c>
      <c r="J70">
        <v>3</v>
      </c>
      <c r="K70" t="s">
        <v>37</v>
      </c>
      <c r="L70" s="1">
        <v>44828</v>
      </c>
      <c r="M70" t="s">
        <v>89</v>
      </c>
      <c r="N70" t="s">
        <v>65</v>
      </c>
      <c r="O70">
        <v>5259.9359999999997</v>
      </c>
      <c r="P70">
        <v>478.17599999999999</v>
      </c>
      <c r="Q70">
        <v>0.39</v>
      </c>
    </row>
    <row r="71" spans="1:17">
      <c r="A71" t="s">
        <v>28</v>
      </c>
      <c r="B71" t="s">
        <v>18</v>
      </c>
      <c r="C71" t="s">
        <v>30</v>
      </c>
      <c r="D71" t="s">
        <v>50</v>
      </c>
      <c r="E71">
        <v>0.04</v>
      </c>
      <c r="F71">
        <v>5324.62</v>
      </c>
      <c r="G71">
        <v>7</v>
      </c>
      <c r="H71">
        <v>13657</v>
      </c>
      <c r="I71">
        <v>41973</v>
      </c>
      <c r="J71">
        <v>7</v>
      </c>
      <c r="K71" t="s">
        <v>51</v>
      </c>
      <c r="L71" s="1">
        <v>44890</v>
      </c>
      <c r="M71" t="s">
        <v>62</v>
      </c>
      <c r="N71" t="s">
        <v>41</v>
      </c>
      <c r="O71">
        <v>5857.0820000000003</v>
      </c>
      <c r="P71">
        <v>532.46199999999999</v>
      </c>
      <c r="Q71">
        <v>0.39</v>
      </c>
    </row>
    <row r="72" spans="1:17">
      <c r="A72" t="s">
        <v>28</v>
      </c>
      <c r="B72" t="s">
        <v>25</v>
      </c>
      <c r="C72" t="s">
        <v>19</v>
      </c>
      <c r="D72" t="s">
        <v>50</v>
      </c>
      <c r="E72">
        <v>0.15</v>
      </c>
      <c r="F72">
        <v>723.65</v>
      </c>
      <c r="G72">
        <v>5.17</v>
      </c>
      <c r="H72">
        <v>2401</v>
      </c>
      <c r="I72">
        <v>8632</v>
      </c>
      <c r="J72">
        <v>5</v>
      </c>
      <c r="K72" t="s">
        <v>37</v>
      </c>
      <c r="L72" s="1">
        <v>44895</v>
      </c>
      <c r="M72" t="s">
        <v>90</v>
      </c>
      <c r="N72" t="s">
        <v>41</v>
      </c>
      <c r="O72">
        <v>796.01499999999999</v>
      </c>
      <c r="P72">
        <v>72.364999999999995</v>
      </c>
      <c r="Q72">
        <v>0.3</v>
      </c>
    </row>
    <row r="73" spans="1:17">
      <c r="A73" t="s">
        <v>67</v>
      </c>
      <c r="B73" t="s">
        <v>29</v>
      </c>
      <c r="C73" t="s">
        <v>40</v>
      </c>
      <c r="D73" t="s">
        <v>50</v>
      </c>
      <c r="E73">
        <v>0.12</v>
      </c>
      <c r="F73">
        <v>8343.74</v>
      </c>
      <c r="G73">
        <v>7.9</v>
      </c>
      <c r="H73">
        <v>21859</v>
      </c>
      <c r="I73">
        <v>66266</v>
      </c>
      <c r="J73">
        <v>10</v>
      </c>
      <c r="K73" t="s">
        <v>37</v>
      </c>
      <c r="L73" s="1">
        <v>44925</v>
      </c>
      <c r="M73" t="s">
        <v>91</v>
      </c>
      <c r="N73" t="s">
        <v>63</v>
      </c>
      <c r="O73">
        <v>9178.1139999999996</v>
      </c>
      <c r="P73">
        <v>834.37400000000105</v>
      </c>
      <c r="Q73">
        <v>0.38</v>
      </c>
    </row>
    <row r="74" spans="1:17">
      <c r="A74" t="s">
        <v>45</v>
      </c>
      <c r="B74" t="s">
        <v>25</v>
      </c>
      <c r="C74" t="s">
        <v>40</v>
      </c>
      <c r="D74" t="s">
        <v>50</v>
      </c>
      <c r="E74">
        <v>0.04</v>
      </c>
      <c r="F74">
        <v>8410.5300000000007</v>
      </c>
      <c r="G74">
        <v>3.03</v>
      </c>
      <c r="H74">
        <v>22044</v>
      </c>
      <c r="I74">
        <v>66816</v>
      </c>
      <c r="J74">
        <v>3</v>
      </c>
      <c r="K74" t="s">
        <v>46</v>
      </c>
      <c r="L74" s="1">
        <v>44610</v>
      </c>
      <c r="M74" t="s">
        <v>87</v>
      </c>
      <c r="N74" t="s">
        <v>60</v>
      </c>
      <c r="O74">
        <v>9251.5830000000005</v>
      </c>
      <c r="P74">
        <v>841.05300000000102</v>
      </c>
      <c r="Q74">
        <v>0.38</v>
      </c>
    </row>
    <row r="75" spans="1:17">
      <c r="A75" t="s">
        <v>39</v>
      </c>
      <c r="B75" t="s">
        <v>25</v>
      </c>
      <c r="C75" t="s">
        <v>19</v>
      </c>
      <c r="D75" t="s">
        <v>42</v>
      </c>
      <c r="E75">
        <v>0.03</v>
      </c>
      <c r="F75">
        <v>2838.42</v>
      </c>
      <c r="G75">
        <v>4.1111870644123097E-2</v>
      </c>
      <c r="H75">
        <v>4084</v>
      </c>
      <c r="I75">
        <v>14280</v>
      </c>
      <c r="J75">
        <v>1</v>
      </c>
      <c r="K75" t="s">
        <v>51</v>
      </c>
      <c r="L75" s="1">
        <v>44847</v>
      </c>
      <c r="M75" t="s">
        <v>92</v>
      </c>
      <c r="N75" t="s">
        <v>57</v>
      </c>
      <c r="O75">
        <v>3122.2620000000002</v>
      </c>
      <c r="P75">
        <v>283.84199999999998</v>
      </c>
      <c r="Q75">
        <v>0.7</v>
      </c>
    </row>
    <row r="76" spans="1:17">
      <c r="A76" t="s">
        <v>67</v>
      </c>
      <c r="B76" t="s">
        <v>25</v>
      </c>
      <c r="C76" t="s">
        <v>30</v>
      </c>
      <c r="D76" t="s">
        <v>50</v>
      </c>
      <c r="E76">
        <v>0.03</v>
      </c>
      <c r="F76">
        <v>4393.6899999999996</v>
      </c>
      <c r="G76">
        <v>4.16</v>
      </c>
      <c r="H76">
        <v>11118</v>
      </c>
      <c r="I76">
        <v>34451</v>
      </c>
      <c r="J76">
        <v>4</v>
      </c>
      <c r="K76" t="s">
        <v>46</v>
      </c>
      <c r="L76" s="1">
        <v>44909</v>
      </c>
      <c r="M76" t="s">
        <v>47</v>
      </c>
      <c r="N76" t="s">
        <v>63</v>
      </c>
      <c r="O76">
        <v>4833.0590000000002</v>
      </c>
      <c r="P76">
        <v>439.36900000000003</v>
      </c>
      <c r="Q76">
        <v>0.4</v>
      </c>
    </row>
    <row r="77" spans="1:17">
      <c r="A77" t="s">
        <v>39</v>
      </c>
      <c r="B77" t="s">
        <v>18</v>
      </c>
      <c r="C77" t="s">
        <v>35</v>
      </c>
      <c r="D77" t="s">
        <v>50</v>
      </c>
      <c r="E77">
        <v>0.11</v>
      </c>
      <c r="F77">
        <v>13957.09</v>
      </c>
      <c r="G77">
        <v>2.2999999999999998</v>
      </c>
      <c r="H77">
        <v>36578</v>
      </c>
      <c r="I77">
        <v>109866</v>
      </c>
      <c r="J77">
        <v>9</v>
      </c>
      <c r="K77" t="s">
        <v>46</v>
      </c>
      <c r="L77" s="1">
        <v>44582</v>
      </c>
      <c r="M77" t="s">
        <v>87</v>
      </c>
      <c r="N77" t="s">
        <v>27</v>
      </c>
      <c r="O77">
        <v>15352.799000000001</v>
      </c>
      <c r="P77">
        <v>1395.7090000000001</v>
      </c>
      <c r="Q77">
        <v>0.38</v>
      </c>
    </row>
    <row r="78" spans="1:17">
      <c r="A78" t="s">
        <v>45</v>
      </c>
      <c r="B78" t="s">
        <v>34</v>
      </c>
      <c r="C78" t="s">
        <v>19</v>
      </c>
      <c r="D78" t="s">
        <v>50</v>
      </c>
      <c r="E78">
        <v>0.05</v>
      </c>
      <c r="F78">
        <v>3632.18</v>
      </c>
      <c r="G78">
        <v>1.74</v>
      </c>
      <c r="H78">
        <v>9042</v>
      </c>
      <c r="I78">
        <v>28301</v>
      </c>
      <c r="J78">
        <v>9</v>
      </c>
      <c r="K78" t="s">
        <v>46</v>
      </c>
      <c r="L78" s="1">
        <v>44914</v>
      </c>
      <c r="M78" t="s">
        <v>93</v>
      </c>
      <c r="N78" t="s">
        <v>63</v>
      </c>
      <c r="O78">
        <v>3995.3980000000001</v>
      </c>
      <c r="P78">
        <v>363.21800000000002</v>
      </c>
      <c r="Q78">
        <v>0.4</v>
      </c>
    </row>
    <row r="79" spans="1:17">
      <c r="A79" t="s">
        <v>55</v>
      </c>
      <c r="B79" t="s">
        <v>18</v>
      </c>
      <c r="C79" t="s">
        <v>40</v>
      </c>
      <c r="D79" t="s">
        <v>20</v>
      </c>
      <c r="E79">
        <v>0.12</v>
      </c>
      <c r="F79">
        <v>8079.21</v>
      </c>
      <c r="G79">
        <v>5.82</v>
      </c>
      <c r="H79">
        <v>21131</v>
      </c>
      <c r="I79">
        <v>64111</v>
      </c>
      <c r="J79">
        <v>10</v>
      </c>
      <c r="K79" t="s">
        <v>51</v>
      </c>
      <c r="L79" s="1">
        <v>44735</v>
      </c>
      <c r="M79" t="s">
        <v>79</v>
      </c>
      <c r="N79" t="s">
        <v>69</v>
      </c>
      <c r="O79">
        <v>8887.1309999999994</v>
      </c>
      <c r="P79">
        <v>807.92100000000096</v>
      </c>
      <c r="Q79">
        <v>0.38</v>
      </c>
    </row>
    <row r="80" spans="1:17">
      <c r="A80" t="s">
        <v>28</v>
      </c>
      <c r="B80" t="s">
        <v>25</v>
      </c>
      <c r="C80" t="s">
        <v>35</v>
      </c>
      <c r="D80" t="s">
        <v>42</v>
      </c>
      <c r="E80">
        <v>0.09</v>
      </c>
      <c r="F80">
        <v>15000</v>
      </c>
      <c r="G80">
        <v>0.76503828850803002</v>
      </c>
      <c r="H80">
        <v>23183</v>
      </c>
      <c r="I80">
        <v>76467</v>
      </c>
      <c r="J80">
        <v>1</v>
      </c>
      <c r="K80" t="s">
        <v>53</v>
      </c>
      <c r="L80" s="1">
        <v>44867</v>
      </c>
      <c r="M80" t="s">
        <v>84</v>
      </c>
      <c r="N80" t="s">
        <v>41</v>
      </c>
      <c r="O80">
        <v>16500</v>
      </c>
      <c r="P80">
        <v>1500</v>
      </c>
      <c r="Q80">
        <v>0.65</v>
      </c>
    </row>
    <row r="81" spans="1:17">
      <c r="A81" t="s">
        <v>49</v>
      </c>
      <c r="B81" t="s">
        <v>34</v>
      </c>
      <c r="C81" t="s">
        <v>40</v>
      </c>
      <c r="D81" t="s">
        <v>50</v>
      </c>
      <c r="E81">
        <v>0.02</v>
      </c>
      <c r="F81">
        <v>9788.2099999999991</v>
      </c>
      <c r="G81">
        <v>4.5599999999999996</v>
      </c>
      <c r="H81">
        <v>25784</v>
      </c>
      <c r="I81">
        <v>77894</v>
      </c>
      <c r="J81">
        <v>8</v>
      </c>
      <c r="K81" t="s">
        <v>37</v>
      </c>
      <c r="L81" s="1">
        <v>44860</v>
      </c>
      <c r="M81" t="s">
        <v>64</v>
      </c>
      <c r="N81" t="s">
        <v>57</v>
      </c>
      <c r="O81">
        <v>10767.030999999901</v>
      </c>
      <c r="P81">
        <v>978.820999999999</v>
      </c>
      <c r="Q81">
        <v>0.38</v>
      </c>
    </row>
    <row r="82" spans="1:17">
      <c r="A82" t="s">
        <v>55</v>
      </c>
      <c r="B82" t="s">
        <v>34</v>
      </c>
      <c r="C82" t="s">
        <v>30</v>
      </c>
      <c r="D82" t="s">
        <v>36</v>
      </c>
      <c r="E82">
        <v>0.11</v>
      </c>
      <c r="F82">
        <v>6237.82</v>
      </c>
      <c r="G82">
        <v>6.16</v>
      </c>
      <c r="H82">
        <v>16137</v>
      </c>
      <c r="I82">
        <v>49318</v>
      </c>
      <c r="J82">
        <v>10</v>
      </c>
      <c r="K82" t="s">
        <v>51</v>
      </c>
      <c r="L82" s="1">
        <v>44655</v>
      </c>
      <c r="M82" t="s">
        <v>62</v>
      </c>
      <c r="N82" t="s">
        <v>73</v>
      </c>
      <c r="O82">
        <v>6861.6019999999999</v>
      </c>
      <c r="P82">
        <v>623.78200000000004</v>
      </c>
      <c r="Q82">
        <v>0.39</v>
      </c>
    </row>
    <row r="83" spans="1:17">
      <c r="A83" t="s">
        <v>24</v>
      </c>
      <c r="B83" t="s">
        <v>18</v>
      </c>
      <c r="C83" t="s">
        <v>30</v>
      </c>
      <c r="D83" t="s">
        <v>20</v>
      </c>
      <c r="E83">
        <v>7.0000000000000007E-2</v>
      </c>
      <c r="F83">
        <v>5075.03</v>
      </c>
      <c r="G83">
        <v>7.27</v>
      </c>
      <c r="H83">
        <v>12975</v>
      </c>
      <c r="I83">
        <v>39951</v>
      </c>
      <c r="J83">
        <v>3</v>
      </c>
      <c r="K83" t="s">
        <v>37</v>
      </c>
      <c r="L83" s="1">
        <v>44747</v>
      </c>
      <c r="M83" t="s">
        <v>94</v>
      </c>
      <c r="N83" t="s">
        <v>23</v>
      </c>
      <c r="O83">
        <v>5582.5330000000004</v>
      </c>
      <c r="P83">
        <v>507.50299999999999</v>
      </c>
      <c r="Q83">
        <v>0.39</v>
      </c>
    </row>
    <row r="84" spans="1:17">
      <c r="A84" t="s">
        <v>55</v>
      </c>
      <c r="B84" t="s">
        <v>25</v>
      </c>
      <c r="C84" t="s">
        <v>35</v>
      </c>
      <c r="D84" t="s">
        <v>36</v>
      </c>
      <c r="E84">
        <v>0.05</v>
      </c>
      <c r="F84">
        <v>12716.23</v>
      </c>
      <c r="G84">
        <v>3.06</v>
      </c>
      <c r="H84">
        <v>33649</v>
      </c>
      <c r="I84">
        <v>101188</v>
      </c>
      <c r="J84">
        <v>6</v>
      </c>
      <c r="K84" t="s">
        <v>46</v>
      </c>
      <c r="L84" s="1">
        <v>44620</v>
      </c>
      <c r="M84" t="s">
        <v>86</v>
      </c>
      <c r="N84" t="s">
        <v>60</v>
      </c>
      <c r="O84">
        <v>13987.852999999999</v>
      </c>
      <c r="P84">
        <v>1271.623</v>
      </c>
      <c r="Q84">
        <v>0.38</v>
      </c>
    </row>
    <row r="85" spans="1:17">
      <c r="A85" t="s">
        <v>67</v>
      </c>
      <c r="B85" t="s">
        <v>25</v>
      </c>
      <c r="C85" t="s">
        <v>19</v>
      </c>
      <c r="D85" t="s">
        <v>42</v>
      </c>
      <c r="E85">
        <v>0.06</v>
      </c>
      <c r="F85">
        <v>3409.08</v>
      </c>
      <c r="G85">
        <v>1.4121033829937899</v>
      </c>
      <c r="H85">
        <v>4962</v>
      </c>
      <c r="I85">
        <v>17140</v>
      </c>
      <c r="J85">
        <v>1</v>
      </c>
      <c r="K85" t="s">
        <v>37</v>
      </c>
      <c r="L85" s="1">
        <v>44673</v>
      </c>
      <c r="M85" t="s">
        <v>89</v>
      </c>
      <c r="N85" t="s">
        <v>73</v>
      </c>
      <c r="O85">
        <v>3749.9879999999998</v>
      </c>
      <c r="P85">
        <v>340.90800000000002</v>
      </c>
      <c r="Q85">
        <v>0.69</v>
      </c>
    </row>
    <row r="86" spans="1:17">
      <c r="A86" t="s">
        <v>17</v>
      </c>
      <c r="B86" t="s">
        <v>29</v>
      </c>
      <c r="C86" t="s">
        <v>35</v>
      </c>
      <c r="D86" t="s">
        <v>20</v>
      </c>
      <c r="E86">
        <v>0.09</v>
      </c>
      <c r="F86">
        <v>14646.49</v>
      </c>
      <c r="G86">
        <v>2.2799999999999998</v>
      </c>
      <c r="H86">
        <v>37885</v>
      </c>
      <c r="I86">
        <v>113736</v>
      </c>
      <c r="J86">
        <v>8</v>
      </c>
      <c r="K86" t="s">
        <v>51</v>
      </c>
      <c r="L86" s="1">
        <v>44657</v>
      </c>
      <c r="M86" t="s">
        <v>79</v>
      </c>
      <c r="N86" t="s">
        <v>73</v>
      </c>
      <c r="O86">
        <v>16111.138999999999</v>
      </c>
      <c r="P86">
        <v>1464.6489999999999</v>
      </c>
      <c r="Q86">
        <v>0.39</v>
      </c>
    </row>
    <row r="87" spans="1:17">
      <c r="A87" t="s">
        <v>24</v>
      </c>
      <c r="B87" t="s">
        <v>25</v>
      </c>
      <c r="C87" t="s">
        <v>40</v>
      </c>
      <c r="D87" t="s">
        <v>42</v>
      </c>
      <c r="E87">
        <v>0.14000000000000001</v>
      </c>
      <c r="F87">
        <v>9984.16</v>
      </c>
      <c r="G87">
        <v>1.0206468755562701</v>
      </c>
      <c r="H87">
        <v>15450</v>
      </c>
      <c r="I87">
        <v>51288</v>
      </c>
      <c r="J87">
        <v>1</v>
      </c>
      <c r="K87" t="s">
        <v>46</v>
      </c>
      <c r="L87" s="1">
        <v>44842</v>
      </c>
      <c r="M87" t="s">
        <v>95</v>
      </c>
      <c r="N87" t="s">
        <v>57</v>
      </c>
      <c r="O87">
        <v>10982.575999999999</v>
      </c>
      <c r="P87">
        <v>998.41600000000096</v>
      </c>
      <c r="Q87">
        <v>0.65</v>
      </c>
    </row>
    <row r="88" spans="1:17">
      <c r="A88" t="s">
        <v>67</v>
      </c>
      <c r="B88" t="s">
        <v>34</v>
      </c>
      <c r="C88" t="s">
        <v>30</v>
      </c>
      <c r="D88" t="s">
        <v>20</v>
      </c>
      <c r="E88">
        <v>0.03</v>
      </c>
      <c r="F88">
        <v>5942.73</v>
      </c>
      <c r="G88">
        <v>5.41</v>
      </c>
      <c r="H88">
        <v>15349</v>
      </c>
      <c r="I88">
        <v>46983</v>
      </c>
      <c r="J88">
        <v>6</v>
      </c>
      <c r="K88" t="s">
        <v>21</v>
      </c>
      <c r="L88" s="1">
        <v>44802</v>
      </c>
      <c r="M88" t="s">
        <v>48</v>
      </c>
      <c r="N88" t="s">
        <v>32</v>
      </c>
      <c r="O88">
        <v>6537.0029999999997</v>
      </c>
      <c r="P88">
        <v>594.27300000000002</v>
      </c>
      <c r="Q88">
        <v>0.39</v>
      </c>
    </row>
    <row r="89" spans="1:17">
      <c r="A89" t="s">
        <v>67</v>
      </c>
      <c r="B89" t="s">
        <v>34</v>
      </c>
      <c r="C89" t="s">
        <v>30</v>
      </c>
      <c r="D89" t="s">
        <v>50</v>
      </c>
      <c r="E89">
        <v>0.11</v>
      </c>
      <c r="F89">
        <v>4205.1899999999996</v>
      </c>
      <c r="G89">
        <v>0.65</v>
      </c>
      <c r="H89">
        <v>10602</v>
      </c>
      <c r="I89">
        <v>32923</v>
      </c>
      <c r="J89">
        <v>8</v>
      </c>
      <c r="K89" t="s">
        <v>51</v>
      </c>
      <c r="L89" s="1">
        <v>44612</v>
      </c>
      <c r="M89" t="s">
        <v>59</v>
      </c>
      <c r="N89" t="s">
        <v>60</v>
      </c>
      <c r="O89">
        <v>4625.7089999999998</v>
      </c>
      <c r="P89">
        <v>420.51900000000001</v>
      </c>
      <c r="Q89">
        <v>0.4</v>
      </c>
    </row>
    <row r="90" spans="1:17">
      <c r="A90" t="s">
        <v>55</v>
      </c>
      <c r="B90" t="s">
        <v>25</v>
      </c>
      <c r="C90" t="s">
        <v>19</v>
      </c>
      <c r="D90" t="s">
        <v>36</v>
      </c>
      <c r="E90">
        <v>0.03</v>
      </c>
      <c r="F90">
        <v>1252.6500000000001</v>
      </c>
      <c r="G90">
        <v>7.05</v>
      </c>
      <c r="H90">
        <v>3322</v>
      </c>
      <c r="I90">
        <v>11359</v>
      </c>
      <c r="J90">
        <v>9</v>
      </c>
      <c r="K90" t="s">
        <v>53</v>
      </c>
      <c r="L90" s="1">
        <v>44569</v>
      </c>
      <c r="M90" t="s">
        <v>84</v>
      </c>
      <c r="N90" t="s">
        <v>27</v>
      </c>
      <c r="O90">
        <v>1377.915</v>
      </c>
      <c r="P90">
        <v>125.265</v>
      </c>
      <c r="Q90">
        <v>0.38</v>
      </c>
    </row>
    <row r="91" spans="1:17">
      <c r="A91" t="s">
        <v>17</v>
      </c>
      <c r="B91" t="s">
        <v>29</v>
      </c>
      <c r="C91" t="s">
        <v>19</v>
      </c>
      <c r="D91" t="s">
        <v>36</v>
      </c>
      <c r="E91">
        <v>7.0000000000000007E-2</v>
      </c>
      <c r="F91">
        <v>967.85</v>
      </c>
      <c r="G91">
        <v>6.18</v>
      </c>
      <c r="H91">
        <v>2799</v>
      </c>
      <c r="I91">
        <v>9812</v>
      </c>
      <c r="J91">
        <v>9</v>
      </c>
      <c r="K91" t="s">
        <v>46</v>
      </c>
      <c r="L91" s="1">
        <v>44599</v>
      </c>
      <c r="M91" t="s">
        <v>96</v>
      </c>
      <c r="N91" t="s">
        <v>60</v>
      </c>
      <c r="O91">
        <v>1064.635</v>
      </c>
      <c r="P91">
        <v>96.785000000000196</v>
      </c>
      <c r="Q91">
        <v>0.35</v>
      </c>
    </row>
    <row r="92" spans="1:17">
      <c r="A92" t="s">
        <v>33</v>
      </c>
      <c r="B92" t="s">
        <v>25</v>
      </c>
      <c r="C92" t="s">
        <v>35</v>
      </c>
      <c r="D92" t="s">
        <v>50</v>
      </c>
      <c r="E92">
        <v>0.09</v>
      </c>
      <c r="F92">
        <v>11417.09</v>
      </c>
      <c r="G92">
        <v>4.84</v>
      </c>
      <c r="H92">
        <v>30213</v>
      </c>
      <c r="I92">
        <v>91012</v>
      </c>
      <c r="J92">
        <v>10</v>
      </c>
      <c r="K92" t="s">
        <v>21</v>
      </c>
      <c r="L92" s="1">
        <v>44683</v>
      </c>
      <c r="M92" t="s">
        <v>77</v>
      </c>
      <c r="N92" t="s">
        <v>44</v>
      </c>
      <c r="O92">
        <v>12558.799000000001</v>
      </c>
      <c r="P92">
        <v>1141.7090000000001</v>
      </c>
      <c r="Q92">
        <v>0.38</v>
      </c>
    </row>
    <row r="93" spans="1:17">
      <c r="A93" t="s">
        <v>17</v>
      </c>
      <c r="B93" t="s">
        <v>34</v>
      </c>
      <c r="C93" t="s">
        <v>30</v>
      </c>
      <c r="D93" t="s">
        <v>42</v>
      </c>
      <c r="E93">
        <v>0.05</v>
      </c>
      <c r="F93">
        <v>4351.3100000000004</v>
      </c>
      <c r="G93">
        <v>1.33881700488905</v>
      </c>
      <c r="H93">
        <v>6461</v>
      </c>
      <c r="I93">
        <v>22020</v>
      </c>
      <c r="J93">
        <v>1</v>
      </c>
      <c r="K93" t="s">
        <v>51</v>
      </c>
      <c r="L93" s="1">
        <v>44915</v>
      </c>
      <c r="M93" t="s">
        <v>97</v>
      </c>
      <c r="N93" t="s">
        <v>63</v>
      </c>
      <c r="O93">
        <v>4786.4409999999998</v>
      </c>
      <c r="P93">
        <v>435.13099999999997</v>
      </c>
      <c r="Q93">
        <v>0.67</v>
      </c>
    </row>
    <row r="94" spans="1:17">
      <c r="A94" t="s">
        <v>45</v>
      </c>
      <c r="B94" t="s">
        <v>18</v>
      </c>
      <c r="C94" t="s">
        <v>35</v>
      </c>
      <c r="D94" t="s">
        <v>42</v>
      </c>
      <c r="E94">
        <v>0.15</v>
      </c>
      <c r="F94">
        <v>13015.42</v>
      </c>
      <c r="G94">
        <v>0.80615015915215305</v>
      </c>
      <c r="H94">
        <v>20214</v>
      </c>
      <c r="I94">
        <v>66800</v>
      </c>
      <c r="J94">
        <v>1</v>
      </c>
      <c r="K94" t="s">
        <v>46</v>
      </c>
      <c r="L94" s="1">
        <v>44908</v>
      </c>
      <c r="M94" t="s">
        <v>98</v>
      </c>
      <c r="N94" t="s">
        <v>63</v>
      </c>
      <c r="O94">
        <v>14316.962</v>
      </c>
      <c r="P94">
        <v>1301.5419999999999</v>
      </c>
      <c r="Q94">
        <v>0.64</v>
      </c>
    </row>
    <row r="95" spans="1:17">
      <c r="A95" t="s">
        <v>17</v>
      </c>
      <c r="B95" t="s">
        <v>18</v>
      </c>
      <c r="C95" t="s">
        <v>35</v>
      </c>
      <c r="D95" t="s">
        <v>42</v>
      </c>
      <c r="E95">
        <v>0.05</v>
      </c>
      <c r="F95">
        <v>13752.83</v>
      </c>
      <c r="G95">
        <v>0.46116794026885899</v>
      </c>
      <c r="H95">
        <v>21228</v>
      </c>
      <c r="I95">
        <v>70104</v>
      </c>
      <c r="J95">
        <v>1</v>
      </c>
      <c r="K95" t="s">
        <v>21</v>
      </c>
      <c r="L95" s="1">
        <v>44858</v>
      </c>
      <c r="M95" t="s">
        <v>80</v>
      </c>
      <c r="N95" t="s">
        <v>57</v>
      </c>
      <c r="O95">
        <v>15128.112999999999</v>
      </c>
      <c r="P95">
        <v>1375.2829999999999</v>
      </c>
      <c r="Q95">
        <v>0.65</v>
      </c>
    </row>
    <row r="96" spans="1:17">
      <c r="A96" t="s">
        <v>17</v>
      </c>
      <c r="B96" t="s">
        <v>29</v>
      </c>
      <c r="C96" t="s">
        <v>40</v>
      </c>
      <c r="D96" t="s">
        <v>50</v>
      </c>
      <c r="E96">
        <v>0.12</v>
      </c>
      <c r="F96">
        <v>7940.22</v>
      </c>
      <c r="G96">
        <v>6.51</v>
      </c>
      <c r="H96">
        <v>20750</v>
      </c>
      <c r="I96">
        <v>62982</v>
      </c>
      <c r="J96">
        <v>3</v>
      </c>
      <c r="K96" t="s">
        <v>37</v>
      </c>
      <c r="L96" s="1">
        <v>44721</v>
      </c>
      <c r="M96" t="s">
        <v>74</v>
      </c>
      <c r="N96" t="s">
        <v>69</v>
      </c>
      <c r="O96">
        <v>8734.2420000000002</v>
      </c>
      <c r="P96">
        <v>794.02199999999903</v>
      </c>
      <c r="Q96">
        <v>0.38</v>
      </c>
    </row>
    <row r="97" spans="1:17">
      <c r="A97" t="s">
        <v>39</v>
      </c>
      <c r="B97" t="s">
        <v>18</v>
      </c>
      <c r="C97" t="s">
        <v>30</v>
      </c>
      <c r="D97" t="s">
        <v>42</v>
      </c>
      <c r="E97">
        <v>0.13</v>
      </c>
      <c r="F97">
        <v>4955.7700000000004</v>
      </c>
      <c r="G97">
        <v>0.52372948255339402</v>
      </c>
      <c r="H97">
        <v>7428</v>
      </c>
      <c r="I97">
        <v>25169</v>
      </c>
      <c r="J97">
        <v>1</v>
      </c>
      <c r="K97" t="s">
        <v>37</v>
      </c>
      <c r="L97" s="1">
        <v>44889</v>
      </c>
      <c r="M97" t="s">
        <v>99</v>
      </c>
      <c r="N97" t="s">
        <v>41</v>
      </c>
      <c r="O97">
        <v>5451.3469999999998</v>
      </c>
      <c r="P97">
        <v>495.577</v>
      </c>
      <c r="Q97">
        <v>0.67</v>
      </c>
    </row>
    <row r="98" spans="1:17">
      <c r="A98" t="s">
        <v>33</v>
      </c>
      <c r="B98" t="s">
        <v>18</v>
      </c>
      <c r="C98" t="s">
        <v>40</v>
      </c>
      <c r="D98" t="s">
        <v>20</v>
      </c>
      <c r="E98">
        <v>0.05</v>
      </c>
      <c r="F98">
        <v>10531.85</v>
      </c>
      <c r="G98">
        <v>1.97</v>
      </c>
      <c r="H98">
        <v>27798</v>
      </c>
      <c r="I98">
        <v>83858</v>
      </c>
      <c r="J98">
        <v>4</v>
      </c>
      <c r="K98" t="s">
        <v>37</v>
      </c>
      <c r="L98" s="1">
        <v>44684</v>
      </c>
      <c r="M98" t="s">
        <v>90</v>
      </c>
      <c r="N98" t="s">
        <v>44</v>
      </c>
      <c r="O98">
        <v>11585.035</v>
      </c>
      <c r="P98">
        <v>1053.1849999999999</v>
      </c>
      <c r="Q98">
        <v>0.38</v>
      </c>
    </row>
    <row r="99" spans="1:17">
      <c r="A99" t="s">
        <v>17</v>
      </c>
      <c r="B99" t="s">
        <v>34</v>
      </c>
      <c r="C99" t="s">
        <v>35</v>
      </c>
      <c r="D99" t="s">
        <v>20</v>
      </c>
      <c r="E99">
        <v>0.15</v>
      </c>
      <c r="F99">
        <v>12323.18</v>
      </c>
      <c r="G99">
        <v>5.68</v>
      </c>
      <c r="H99">
        <v>32620</v>
      </c>
      <c r="I99">
        <v>98142</v>
      </c>
      <c r="J99">
        <v>10</v>
      </c>
      <c r="K99" t="s">
        <v>51</v>
      </c>
      <c r="L99" s="1">
        <v>44669</v>
      </c>
      <c r="M99" t="s">
        <v>79</v>
      </c>
      <c r="N99" t="s">
        <v>73</v>
      </c>
      <c r="O99">
        <v>13555.498</v>
      </c>
      <c r="P99">
        <v>1232.318</v>
      </c>
      <c r="Q99">
        <v>0.38</v>
      </c>
    </row>
    <row r="100" spans="1:17">
      <c r="A100" t="s">
        <v>17</v>
      </c>
      <c r="B100" t="s">
        <v>25</v>
      </c>
      <c r="C100" t="s">
        <v>35</v>
      </c>
      <c r="D100" t="s">
        <v>42</v>
      </c>
      <c r="E100">
        <v>0.01</v>
      </c>
      <c r="F100">
        <v>15000</v>
      </c>
      <c r="G100">
        <v>1.2512308456907</v>
      </c>
      <c r="H100">
        <v>22636</v>
      </c>
      <c r="I100">
        <v>74689</v>
      </c>
      <c r="J100">
        <v>1</v>
      </c>
      <c r="K100" t="s">
        <v>21</v>
      </c>
      <c r="L100" s="1">
        <v>44800</v>
      </c>
      <c r="M100" t="s">
        <v>26</v>
      </c>
      <c r="N100" t="s">
        <v>32</v>
      </c>
      <c r="O100">
        <v>16500</v>
      </c>
      <c r="P100">
        <v>1500</v>
      </c>
      <c r="Q100">
        <v>0.66</v>
      </c>
    </row>
    <row r="101" spans="1:17">
      <c r="A101" t="s">
        <v>49</v>
      </c>
      <c r="B101" t="s">
        <v>29</v>
      </c>
      <c r="C101" t="s">
        <v>40</v>
      </c>
      <c r="D101" t="s">
        <v>50</v>
      </c>
      <c r="E101">
        <v>0.11</v>
      </c>
      <c r="F101">
        <v>9532.08</v>
      </c>
      <c r="G101">
        <v>0.34</v>
      </c>
      <c r="H101">
        <v>25069</v>
      </c>
      <c r="I101">
        <v>75774</v>
      </c>
      <c r="J101">
        <v>2</v>
      </c>
      <c r="K101" t="s">
        <v>53</v>
      </c>
      <c r="L101" s="1">
        <v>44589</v>
      </c>
      <c r="M101" t="s">
        <v>82</v>
      </c>
      <c r="N101" t="s">
        <v>27</v>
      </c>
      <c r="O101">
        <v>10485.288</v>
      </c>
      <c r="P101">
        <v>953.20799999999997</v>
      </c>
      <c r="Q101">
        <v>0.38</v>
      </c>
    </row>
    <row r="102" spans="1:17">
      <c r="A102" t="s">
        <v>33</v>
      </c>
      <c r="B102" t="s">
        <v>29</v>
      </c>
      <c r="C102" t="s">
        <v>19</v>
      </c>
      <c r="D102" t="s">
        <v>20</v>
      </c>
      <c r="E102">
        <v>0.08</v>
      </c>
      <c r="F102">
        <v>2786.77</v>
      </c>
      <c r="G102">
        <v>6.29</v>
      </c>
      <c r="H102">
        <v>6820</v>
      </c>
      <c r="I102">
        <v>21722</v>
      </c>
      <c r="J102">
        <v>6</v>
      </c>
      <c r="K102" t="s">
        <v>21</v>
      </c>
      <c r="L102" s="1">
        <v>44880</v>
      </c>
      <c r="M102" t="s">
        <v>31</v>
      </c>
      <c r="N102" t="s">
        <v>41</v>
      </c>
      <c r="O102">
        <v>3065.4470000000001</v>
      </c>
      <c r="P102">
        <v>278.67700000000002</v>
      </c>
      <c r="Q102">
        <v>0.41</v>
      </c>
    </row>
    <row r="103" spans="1:17">
      <c r="A103" t="s">
        <v>24</v>
      </c>
      <c r="B103" t="s">
        <v>25</v>
      </c>
      <c r="C103" t="s">
        <v>40</v>
      </c>
      <c r="D103" t="s">
        <v>50</v>
      </c>
      <c r="E103">
        <v>0.14000000000000001</v>
      </c>
      <c r="F103">
        <v>10782.95</v>
      </c>
      <c r="G103">
        <v>2.29</v>
      </c>
      <c r="H103">
        <v>28481</v>
      </c>
      <c r="I103">
        <v>85883</v>
      </c>
      <c r="J103">
        <v>7</v>
      </c>
      <c r="K103" t="s">
        <v>51</v>
      </c>
      <c r="L103" s="1">
        <v>44683</v>
      </c>
      <c r="M103" t="s">
        <v>52</v>
      </c>
      <c r="N103" t="s">
        <v>44</v>
      </c>
      <c r="O103">
        <v>11861.245000000001</v>
      </c>
      <c r="P103">
        <v>1078.2950000000001</v>
      </c>
      <c r="Q103">
        <v>0.38</v>
      </c>
    </row>
    <row r="104" spans="1:17">
      <c r="A104" t="s">
        <v>24</v>
      </c>
      <c r="B104" t="s">
        <v>18</v>
      </c>
      <c r="C104" t="s">
        <v>35</v>
      </c>
      <c r="D104" t="s">
        <v>20</v>
      </c>
      <c r="E104">
        <v>7.0000000000000007E-2</v>
      </c>
      <c r="F104">
        <v>15000</v>
      </c>
      <c r="G104">
        <v>0.7</v>
      </c>
      <c r="H104">
        <v>39220</v>
      </c>
      <c r="I104">
        <v>117689</v>
      </c>
      <c r="J104">
        <v>6</v>
      </c>
      <c r="K104" t="s">
        <v>53</v>
      </c>
      <c r="L104" s="1">
        <v>44671</v>
      </c>
      <c r="M104" t="s">
        <v>66</v>
      </c>
      <c r="N104" t="s">
        <v>73</v>
      </c>
      <c r="O104">
        <v>16500</v>
      </c>
      <c r="P104">
        <v>1500</v>
      </c>
      <c r="Q104">
        <v>0.38</v>
      </c>
    </row>
    <row r="105" spans="1:17">
      <c r="A105" t="s">
        <v>49</v>
      </c>
      <c r="B105" t="s">
        <v>29</v>
      </c>
      <c r="C105" t="s">
        <v>30</v>
      </c>
      <c r="D105" t="s">
        <v>20</v>
      </c>
      <c r="E105">
        <v>0.13</v>
      </c>
      <c r="F105">
        <v>6862.64</v>
      </c>
      <c r="G105">
        <v>5.03</v>
      </c>
      <c r="H105">
        <v>17824</v>
      </c>
      <c r="I105">
        <v>54314</v>
      </c>
      <c r="J105">
        <v>3</v>
      </c>
      <c r="K105" t="s">
        <v>53</v>
      </c>
      <c r="L105" s="1">
        <v>44886</v>
      </c>
      <c r="M105" t="s">
        <v>78</v>
      </c>
      <c r="N105" t="s">
        <v>41</v>
      </c>
      <c r="O105">
        <v>7548.9040000000005</v>
      </c>
      <c r="P105">
        <v>686.26400000000103</v>
      </c>
      <c r="Q105">
        <v>0.39</v>
      </c>
    </row>
    <row r="106" spans="1:17">
      <c r="A106" t="s">
        <v>67</v>
      </c>
      <c r="B106" t="s">
        <v>18</v>
      </c>
      <c r="C106" t="s">
        <v>40</v>
      </c>
      <c r="D106" t="s">
        <v>42</v>
      </c>
      <c r="E106">
        <v>0.13</v>
      </c>
      <c r="F106">
        <v>10277.879999999999</v>
      </c>
      <c r="G106">
        <v>1.2816178805146199</v>
      </c>
      <c r="H106">
        <v>15918</v>
      </c>
      <c r="I106">
        <v>52814</v>
      </c>
      <c r="J106">
        <v>1</v>
      </c>
      <c r="K106" t="s">
        <v>37</v>
      </c>
      <c r="L106" s="1">
        <v>44709</v>
      </c>
      <c r="M106" t="s">
        <v>99</v>
      </c>
      <c r="N106" t="s">
        <v>44</v>
      </c>
      <c r="O106">
        <v>11305.668</v>
      </c>
      <c r="P106">
        <v>1027.788</v>
      </c>
      <c r="Q106">
        <v>0.65</v>
      </c>
    </row>
    <row r="107" spans="1:17">
      <c r="A107" t="s">
        <v>45</v>
      </c>
      <c r="B107" t="s">
        <v>29</v>
      </c>
      <c r="C107" t="s">
        <v>35</v>
      </c>
      <c r="D107" t="s">
        <v>42</v>
      </c>
      <c r="E107">
        <v>0.09</v>
      </c>
      <c r="F107">
        <v>12083.88</v>
      </c>
      <c r="G107">
        <v>0.33068243778968598</v>
      </c>
      <c r="H107">
        <v>18788</v>
      </c>
      <c r="I107">
        <v>62157</v>
      </c>
      <c r="J107">
        <v>1</v>
      </c>
      <c r="K107" t="s">
        <v>53</v>
      </c>
      <c r="L107" s="1">
        <v>44709</v>
      </c>
      <c r="M107" t="s">
        <v>83</v>
      </c>
      <c r="N107" t="s">
        <v>44</v>
      </c>
      <c r="O107">
        <v>13292.268</v>
      </c>
      <c r="P107">
        <v>1208.3879999999999</v>
      </c>
      <c r="Q107">
        <v>0.64</v>
      </c>
    </row>
    <row r="108" spans="1:17">
      <c r="A108" t="s">
        <v>33</v>
      </c>
      <c r="B108" t="s">
        <v>25</v>
      </c>
      <c r="C108" t="s">
        <v>30</v>
      </c>
      <c r="D108" t="s">
        <v>20</v>
      </c>
      <c r="E108">
        <v>0.03</v>
      </c>
      <c r="F108">
        <v>4972.13</v>
      </c>
      <c r="G108">
        <v>3.02</v>
      </c>
      <c r="H108">
        <v>12693</v>
      </c>
      <c r="I108">
        <v>39118</v>
      </c>
      <c r="J108">
        <v>1</v>
      </c>
      <c r="K108" t="s">
        <v>37</v>
      </c>
      <c r="L108" s="1">
        <v>44609</v>
      </c>
      <c r="M108" t="s">
        <v>99</v>
      </c>
      <c r="N108" t="s">
        <v>60</v>
      </c>
      <c r="O108">
        <v>5469.3429999999998</v>
      </c>
      <c r="P108">
        <v>497.21300000000002</v>
      </c>
      <c r="Q108">
        <v>0.39</v>
      </c>
    </row>
    <row r="109" spans="1:17">
      <c r="A109" t="s">
        <v>45</v>
      </c>
      <c r="B109" t="s">
        <v>29</v>
      </c>
      <c r="C109" t="s">
        <v>35</v>
      </c>
      <c r="D109" t="s">
        <v>42</v>
      </c>
      <c r="E109">
        <v>0.03</v>
      </c>
      <c r="F109">
        <v>13608.15</v>
      </c>
      <c r="G109">
        <v>0.65600245766926901</v>
      </c>
      <c r="H109">
        <v>21045</v>
      </c>
      <c r="I109">
        <v>69508</v>
      </c>
      <c r="J109">
        <v>1</v>
      </c>
      <c r="K109" t="s">
        <v>37</v>
      </c>
      <c r="L109" s="1">
        <v>44612</v>
      </c>
      <c r="M109" t="s">
        <v>100</v>
      </c>
      <c r="N109" t="s">
        <v>60</v>
      </c>
      <c r="O109">
        <v>14968.965</v>
      </c>
      <c r="P109">
        <v>1360.8150000000001</v>
      </c>
      <c r="Q109">
        <v>0.65</v>
      </c>
    </row>
    <row r="110" spans="1:17">
      <c r="A110" t="s">
        <v>45</v>
      </c>
      <c r="B110" t="s">
        <v>25</v>
      </c>
      <c r="C110" t="s">
        <v>35</v>
      </c>
      <c r="D110" t="s">
        <v>50</v>
      </c>
      <c r="E110">
        <v>0.12</v>
      </c>
      <c r="F110">
        <v>13096.7</v>
      </c>
      <c r="G110">
        <v>4.3</v>
      </c>
      <c r="H110">
        <v>34616</v>
      </c>
      <c r="I110">
        <v>104052</v>
      </c>
      <c r="J110">
        <v>7</v>
      </c>
      <c r="K110" t="s">
        <v>46</v>
      </c>
      <c r="L110" s="1">
        <v>44636</v>
      </c>
      <c r="M110" t="s">
        <v>87</v>
      </c>
      <c r="N110" t="s">
        <v>81</v>
      </c>
      <c r="O110">
        <v>14406.37</v>
      </c>
      <c r="P110">
        <v>1309.67</v>
      </c>
      <c r="Q110">
        <v>0.38</v>
      </c>
    </row>
    <row r="111" spans="1:17">
      <c r="A111" t="s">
        <v>45</v>
      </c>
      <c r="B111" t="s">
        <v>34</v>
      </c>
      <c r="C111" t="s">
        <v>35</v>
      </c>
      <c r="D111" t="s">
        <v>50</v>
      </c>
      <c r="E111">
        <v>0.12</v>
      </c>
      <c r="F111">
        <v>13437.61</v>
      </c>
      <c r="G111">
        <v>1.69</v>
      </c>
      <c r="H111">
        <v>35434</v>
      </c>
      <c r="I111">
        <v>106478</v>
      </c>
      <c r="J111">
        <v>1</v>
      </c>
      <c r="K111" t="s">
        <v>37</v>
      </c>
      <c r="L111" s="1">
        <v>44750</v>
      </c>
      <c r="M111" t="s">
        <v>56</v>
      </c>
      <c r="N111" t="s">
        <v>23</v>
      </c>
      <c r="O111">
        <v>14781.370999999999</v>
      </c>
      <c r="P111">
        <v>1343.761</v>
      </c>
      <c r="Q111">
        <v>0.38</v>
      </c>
    </row>
    <row r="112" spans="1:17">
      <c r="A112" t="s">
        <v>33</v>
      </c>
      <c r="B112" t="s">
        <v>18</v>
      </c>
      <c r="C112" t="s">
        <v>35</v>
      </c>
      <c r="D112" t="s">
        <v>36</v>
      </c>
      <c r="E112">
        <v>0.12</v>
      </c>
      <c r="F112">
        <v>11583.71</v>
      </c>
      <c r="G112">
        <v>3.3</v>
      </c>
      <c r="H112">
        <v>30670</v>
      </c>
      <c r="I112">
        <v>92366</v>
      </c>
      <c r="J112">
        <v>8</v>
      </c>
      <c r="K112" t="s">
        <v>46</v>
      </c>
      <c r="L112" s="1">
        <v>44683</v>
      </c>
      <c r="M112" t="s">
        <v>93</v>
      </c>
      <c r="N112" t="s">
        <v>44</v>
      </c>
      <c r="O112">
        <v>12742.081</v>
      </c>
      <c r="P112">
        <v>1158.3710000000001</v>
      </c>
      <c r="Q112">
        <v>0.38</v>
      </c>
    </row>
    <row r="113" spans="1:17">
      <c r="A113" t="s">
        <v>67</v>
      </c>
      <c r="B113" t="s">
        <v>25</v>
      </c>
      <c r="C113" t="s">
        <v>35</v>
      </c>
      <c r="D113" t="s">
        <v>50</v>
      </c>
      <c r="E113">
        <v>0.03</v>
      </c>
      <c r="F113">
        <v>13213.75</v>
      </c>
      <c r="G113">
        <v>5.0999999999999996</v>
      </c>
      <c r="H113">
        <v>34904</v>
      </c>
      <c r="I113">
        <v>104908</v>
      </c>
      <c r="J113">
        <v>9</v>
      </c>
      <c r="K113" t="s">
        <v>37</v>
      </c>
      <c r="L113" s="1">
        <v>44891</v>
      </c>
      <c r="M113" t="s">
        <v>94</v>
      </c>
      <c r="N113" t="s">
        <v>41</v>
      </c>
      <c r="O113">
        <v>14535.125</v>
      </c>
      <c r="P113">
        <v>1321.375</v>
      </c>
      <c r="Q113">
        <v>0.38</v>
      </c>
    </row>
    <row r="114" spans="1:17">
      <c r="A114" t="s">
        <v>39</v>
      </c>
      <c r="B114" t="s">
        <v>18</v>
      </c>
      <c r="C114" t="s">
        <v>30</v>
      </c>
      <c r="D114" t="s">
        <v>50</v>
      </c>
      <c r="E114">
        <v>0.13</v>
      </c>
      <c r="F114">
        <v>4560.63</v>
      </c>
      <c r="G114">
        <v>5.63</v>
      </c>
      <c r="H114">
        <v>11575</v>
      </c>
      <c r="I114">
        <v>35805</v>
      </c>
      <c r="J114">
        <v>4</v>
      </c>
      <c r="K114" t="s">
        <v>46</v>
      </c>
      <c r="L114" s="1">
        <v>44893</v>
      </c>
      <c r="M114" t="s">
        <v>47</v>
      </c>
      <c r="N114" t="s">
        <v>41</v>
      </c>
      <c r="O114">
        <v>5016.6930000000002</v>
      </c>
      <c r="P114">
        <v>456.06299999999999</v>
      </c>
      <c r="Q114">
        <v>0.39</v>
      </c>
    </row>
    <row r="115" spans="1:17">
      <c r="A115" t="s">
        <v>39</v>
      </c>
      <c r="B115" t="s">
        <v>18</v>
      </c>
      <c r="C115" t="s">
        <v>19</v>
      </c>
      <c r="D115" t="s">
        <v>50</v>
      </c>
      <c r="E115">
        <v>0.09</v>
      </c>
      <c r="F115">
        <v>1876.08</v>
      </c>
      <c r="G115">
        <v>0.51</v>
      </c>
      <c r="H115">
        <v>4606</v>
      </c>
      <c r="I115">
        <v>15163</v>
      </c>
      <c r="J115">
        <v>5</v>
      </c>
      <c r="K115" t="s">
        <v>53</v>
      </c>
      <c r="L115" s="1">
        <v>44672</v>
      </c>
      <c r="M115" t="s">
        <v>82</v>
      </c>
      <c r="N115" t="s">
        <v>73</v>
      </c>
      <c r="O115">
        <v>2063.6880000000001</v>
      </c>
      <c r="P115">
        <v>187.608</v>
      </c>
      <c r="Q115">
        <v>0.41</v>
      </c>
    </row>
    <row r="116" spans="1:17">
      <c r="A116" t="s">
        <v>28</v>
      </c>
      <c r="B116" t="s">
        <v>29</v>
      </c>
      <c r="C116" t="s">
        <v>30</v>
      </c>
      <c r="D116" t="s">
        <v>36</v>
      </c>
      <c r="E116">
        <v>0.05</v>
      </c>
      <c r="F116">
        <v>5677.93</v>
      </c>
      <c r="G116">
        <v>4.34</v>
      </c>
      <c r="H116">
        <v>14621</v>
      </c>
      <c r="I116">
        <v>44829</v>
      </c>
      <c r="J116">
        <v>6</v>
      </c>
      <c r="K116" t="s">
        <v>37</v>
      </c>
      <c r="L116" s="1">
        <v>44792</v>
      </c>
      <c r="M116" t="s">
        <v>38</v>
      </c>
      <c r="N116" t="s">
        <v>32</v>
      </c>
      <c r="O116">
        <v>6245.723</v>
      </c>
      <c r="P116">
        <v>567.79300000000001</v>
      </c>
      <c r="Q116">
        <v>0.39</v>
      </c>
    </row>
    <row r="117" spans="1:17">
      <c r="A117" t="s">
        <v>55</v>
      </c>
      <c r="B117" t="s">
        <v>34</v>
      </c>
      <c r="C117" t="s">
        <v>40</v>
      </c>
      <c r="D117" t="s">
        <v>20</v>
      </c>
      <c r="E117">
        <v>0.01</v>
      </c>
      <c r="F117">
        <v>9823.7099999999991</v>
      </c>
      <c r="G117">
        <v>5.21</v>
      </c>
      <c r="H117">
        <v>25885</v>
      </c>
      <c r="I117">
        <v>78191</v>
      </c>
      <c r="J117">
        <v>9</v>
      </c>
      <c r="K117" t="s">
        <v>37</v>
      </c>
      <c r="L117" s="1">
        <v>44917</v>
      </c>
      <c r="M117" t="s">
        <v>99</v>
      </c>
      <c r="N117" t="s">
        <v>63</v>
      </c>
      <c r="O117">
        <v>10806.081</v>
      </c>
      <c r="P117">
        <v>982.371000000001</v>
      </c>
      <c r="Q117">
        <v>0.38</v>
      </c>
    </row>
    <row r="118" spans="1:17">
      <c r="A118" t="s">
        <v>17</v>
      </c>
      <c r="B118" t="s">
        <v>29</v>
      </c>
      <c r="C118" t="s">
        <v>19</v>
      </c>
      <c r="D118" t="s">
        <v>36</v>
      </c>
      <c r="E118">
        <v>0.08</v>
      </c>
      <c r="F118">
        <v>1687.96</v>
      </c>
      <c r="G118">
        <v>5.97</v>
      </c>
      <c r="H118">
        <v>4197</v>
      </c>
      <c r="I118">
        <v>13952</v>
      </c>
      <c r="J118">
        <v>10</v>
      </c>
      <c r="K118" t="s">
        <v>46</v>
      </c>
      <c r="L118" s="1">
        <v>44750</v>
      </c>
      <c r="M118" t="s">
        <v>87</v>
      </c>
      <c r="N118" t="s">
        <v>23</v>
      </c>
      <c r="O118">
        <v>1856.7560000000001</v>
      </c>
      <c r="P118">
        <v>168.79599999999999</v>
      </c>
      <c r="Q118">
        <v>0.4</v>
      </c>
    </row>
    <row r="119" spans="1:17">
      <c r="A119" t="s">
        <v>67</v>
      </c>
      <c r="B119" t="s">
        <v>18</v>
      </c>
      <c r="C119" t="s">
        <v>30</v>
      </c>
      <c r="D119" t="s">
        <v>20</v>
      </c>
      <c r="E119">
        <v>0.1</v>
      </c>
      <c r="F119">
        <v>6239.3</v>
      </c>
      <c r="G119">
        <v>1.44</v>
      </c>
      <c r="H119">
        <v>16140</v>
      </c>
      <c r="I119">
        <v>49327</v>
      </c>
      <c r="J119">
        <v>4</v>
      </c>
      <c r="K119" t="s">
        <v>53</v>
      </c>
      <c r="L119" s="1">
        <v>44619</v>
      </c>
      <c r="M119" t="s">
        <v>68</v>
      </c>
      <c r="N119" t="s">
        <v>60</v>
      </c>
      <c r="O119">
        <v>6863.23</v>
      </c>
      <c r="P119">
        <v>623.92999999999995</v>
      </c>
      <c r="Q119">
        <v>0.39</v>
      </c>
    </row>
    <row r="120" spans="1:17">
      <c r="A120" t="s">
        <v>17</v>
      </c>
      <c r="B120" t="s">
        <v>18</v>
      </c>
      <c r="C120" t="s">
        <v>19</v>
      </c>
      <c r="D120" t="s">
        <v>50</v>
      </c>
      <c r="E120">
        <v>0.12</v>
      </c>
      <c r="F120">
        <v>500</v>
      </c>
      <c r="G120">
        <v>2.96</v>
      </c>
      <c r="H120">
        <v>783</v>
      </c>
      <c r="I120">
        <v>3839</v>
      </c>
      <c r="J120">
        <v>2</v>
      </c>
      <c r="K120" t="s">
        <v>51</v>
      </c>
      <c r="L120" s="1">
        <v>44710</v>
      </c>
      <c r="M120" t="s">
        <v>101</v>
      </c>
      <c r="N120" t="s">
        <v>44</v>
      </c>
      <c r="O120">
        <v>550</v>
      </c>
      <c r="P120">
        <v>50</v>
      </c>
      <c r="Q120">
        <v>0.64</v>
      </c>
    </row>
    <row r="121" spans="1:17">
      <c r="A121" t="s">
        <v>67</v>
      </c>
      <c r="B121" t="s">
        <v>29</v>
      </c>
      <c r="C121" t="s">
        <v>35</v>
      </c>
      <c r="D121" t="s">
        <v>42</v>
      </c>
      <c r="E121">
        <v>0.05</v>
      </c>
      <c r="F121">
        <v>14914.78</v>
      </c>
      <c r="G121">
        <v>1.3441794227991499</v>
      </c>
      <c r="H121">
        <v>22489</v>
      </c>
      <c r="I121">
        <v>74210</v>
      </c>
      <c r="J121">
        <v>1</v>
      </c>
      <c r="K121" t="s">
        <v>37</v>
      </c>
      <c r="L121" s="1">
        <v>44793</v>
      </c>
      <c r="M121" t="s">
        <v>64</v>
      </c>
      <c r="N121" t="s">
        <v>32</v>
      </c>
      <c r="O121">
        <v>16406.258000000002</v>
      </c>
      <c r="P121">
        <v>1491.4780000000001</v>
      </c>
      <c r="Q121">
        <v>0.66</v>
      </c>
    </row>
    <row r="122" spans="1:17">
      <c r="A122" t="s">
        <v>39</v>
      </c>
      <c r="B122" t="s">
        <v>18</v>
      </c>
      <c r="C122" t="s">
        <v>35</v>
      </c>
      <c r="D122" t="s">
        <v>50</v>
      </c>
      <c r="E122">
        <v>0.14000000000000001</v>
      </c>
      <c r="F122">
        <v>12584.92</v>
      </c>
      <c r="G122">
        <v>1.42</v>
      </c>
      <c r="H122">
        <v>33307</v>
      </c>
      <c r="I122">
        <v>100176</v>
      </c>
      <c r="J122">
        <v>5</v>
      </c>
      <c r="K122" t="s">
        <v>53</v>
      </c>
      <c r="L122" s="1">
        <v>44882</v>
      </c>
      <c r="M122" t="s">
        <v>84</v>
      </c>
      <c r="N122" t="s">
        <v>41</v>
      </c>
      <c r="O122">
        <v>13843.412</v>
      </c>
      <c r="P122">
        <v>1258.492</v>
      </c>
      <c r="Q122">
        <v>0.38</v>
      </c>
    </row>
    <row r="123" spans="1:17">
      <c r="A123" t="s">
        <v>49</v>
      </c>
      <c r="B123" t="s">
        <v>18</v>
      </c>
      <c r="C123" t="s">
        <v>30</v>
      </c>
      <c r="D123" t="s">
        <v>42</v>
      </c>
      <c r="E123">
        <v>0.14000000000000001</v>
      </c>
      <c r="F123">
        <v>7152.18</v>
      </c>
      <c r="G123">
        <v>0.57556618901772405</v>
      </c>
      <c r="H123">
        <v>10929</v>
      </c>
      <c r="I123">
        <v>36569</v>
      </c>
      <c r="J123">
        <v>1</v>
      </c>
      <c r="K123" t="s">
        <v>46</v>
      </c>
      <c r="L123" s="1">
        <v>44813</v>
      </c>
      <c r="M123" t="s">
        <v>47</v>
      </c>
      <c r="N123" t="s">
        <v>65</v>
      </c>
      <c r="O123">
        <v>7867.3980000000001</v>
      </c>
      <c r="P123">
        <v>715.21799999999996</v>
      </c>
      <c r="Q123">
        <v>0.65</v>
      </c>
    </row>
    <row r="124" spans="1:17">
      <c r="A124" t="s">
        <v>55</v>
      </c>
      <c r="B124" t="s">
        <v>34</v>
      </c>
      <c r="C124" t="s">
        <v>19</v>
      </c>
      <c r="D124" t="s">
        <v>42</v>
      </c>
      <c r="E124">
        <v>0.13</v>
      </c>
      <c r="F124">
        <v>2694.81</v>
      </c>
      <c r="G124">
        <v>1.3280921690688401</v>
      </c>
      <c r="H124">
        <v>3873</v>
      </c>
      <c r="I124">
        <v>13592</v>
      </c>
      <c r="J124">
        <v>1</v>
      </c>
      <c r="K124" t="s">
        <v>53</v>
      </c>
      <c r="L124" s="1">
        <v>44700</v>
      </c>
      <c r="M124" t="s">
        <v>83</v>
      </c>
      <c r="N124" t="s">
        <v>44</v>
      </c>
      <c r="O124">
        <v>2964.2910000000002</v>
      </c>
      <c r="P124">
        <v>269.48099999999999</v>
      </c>
      <c r="Q124">
        <v>0.7</v>
      </c>
    </row>
    <row r="125" spans="1:17">
      <c r="A125" t="s">
        <v>28</v>
      </c>
      <c r="B125" t="s">
        <v>25</v>
      </c>
      <c r="C125" t="s">
        <v>19</v>
      </c>
      <c r="D125" t="s">
        <v>20</v>
      </c>
      <c r="E125">
        <v>0.08</v>
      </c>
      <c r="F125">
        <v>1819.81</v>
      </c>
      <c r="G125">
        <v>3.77</v>
      </c>
      <c r="H125">
        <v>4480</v>
      </c>
      <c r="I125">
        <v>14790</v>
      </c>
      <c r="J125">
        <v>4</v>
      </c>
      <c r="K125" t="s">
        <v>46</v>
      </c>
      <c r="L125" s="1">
        <v>44839</v>
      </c>
      <c r="M125" t="s">
        <v>98</v>
      </c>
      <c r="N125" t="s">
        <v>57</v>
      </c>
      <c r="O125">
        <v>2001.7909999999999</v>
      </c>
      <c r="P125">
        <v>181.98099999999999</v>
      </c>
      <c r="Q125">
        <v>0.41</v>
      </c>
    </row>
    <row r="126" spans="1:17">
      <c r="A126" t="s">
        <v>67</v>
      </c>
      <c r="B126" t="s">
        <v>18</v>
      </c>
      <c r="C126" t="s">
        <v>40</v>
      </c>
      <c r="D126" t="s">
        <v>50</v>
      </c>
      <c r="E126">
        <v>7.0000000000000007E-2</v>
      </c>
      <c r="F126">
        <v>8975.69</v>
      </c>
      <c r="G126">
        <v>1.31</v>
      </c>
      <c r="H126">
        <v>23560</v>
      </c>
      <c r="I126">
        <v>71306</v>
      </c>
      <c r="J126">
        <v>4</v>
      </c>
      <c r="K126" t="s">
        <v>53</v>
      </c>
      <c r="L126" s="1">
        <v>44741</v>
      </c>
      <c r="M126" t="s">
        <v>54</v>
      </c>
      <c r="N126" t="s">
        <v>69</v>
      </c>
      <c r="O126">
        <v>9873.259</v>
      </c>
      <c r="P126">
        <v>897.56900000000098</v>
      </c>
      <c r="Q126">
        <v>0.38</v>
      </c>
    </row>
    <row r="127" spans="1:17">
      <c r="A127" t="s">
        <v>45</v>
      </c>
      <c r="B127" t="s">
        <v>34</v>
      </c>
      <c r="C127" t="s">
        <v>19</v>
      </c>
      <c r="D127" t="s">
        <v>42</v>
      </c>
      <c r="E127">
        <v>0.01</v>
      </c>
      <c r="F127">
        <v>2920.54</v>
      </c>
      <c r="G127">
        <v>1.3727789849863701</v>
      </c>
      <c r="H127">
        <v>4212</v>
      </c>
      <c r="I127">
        <v>14696</v>
      </c>
      <c r="J127">
        <v>1</v>
      </c>
      <c r="K127" t="s">
        <v>37</v>
      </c>
      <c r="L127" s="1">
        <v>44817</v>
      </c>
      <c r="M127" t="s">
        <v>64</v>
      </c>
      <c r="N127" t="s">
        <v>65</v>
      </c>
      <c r="O127">
        <v>3212.5940000000001</v>
      </c>
      <c r="P127">
        <v>292.05399999999997</v>
      </c>
      <c r="Q127">
        <v>0.69</v>
      </c>
    </row>
    <row r="128" spans="1:17">
      <c r="A128" t="s">
        <v>45</v>
      </c>
      <c r="B128" t="s">
        <v>25</v>
      </c>
      <c r="C128" t="s">
        <v>19</v>
      </c>
      <c r="D128" t="s">
        <v>50</v>
      </c>
      <c r="E128">
        <v>0.14000000000000001</v>
      </c>
      <c r="F128">
        <v>3957.13</v>
      </c>
      <c r="G128">
        <v>5.82</v>
      </c>
      <c r="H128">
        <v>9923</v>
      </c>
      <c r="I128">
        <v>30912</v>
      </c>
      <c r="J128">
        <v>8</v>
      </c>
      <c r="K128" t="s">
        <v>46</v>
      </c>
      <c r="L128" s="1">
        <v>44782</v>
      </c>
      <c r="M128" t="s">
        <v>76</v>
      </c>
      <c r="N128" t="s">
        <v>32</v>
      </c>
      <c r="O128">
        <v>4352.8429999999998</v>
      </c>
      <c r="P128">
        <v>395.71300000000002</v>
      </c>
      <c r="Q128">
        <v>0.4</v>
      </c>
    </row>
    <row r="129" spans="1:17">
      <c r="A129" t="s">
        <v>28</v>
      </c>
      <c r="B129" t="s">
        <v>29</v>
      </c>
      <c r="C129" t="s">
        <v>40</v>
      </c>
      <c r="D129" t="s">
        <v>20</v>
      </c>
      <c r="E129">
        <v>0.02</v>
      </c>
      <c r="F129">
        <v>11135.25</v>
      </c>
      <c r="G129">
        <v>7.95</v>
      </c>
      <c r="H129">
        <v>29446</v>
      </c>
      <c r="I129">
        <v>88739</v>
      </c>
      <c r="J129">
        <v>5</v>
      </c>
      <c r="K129" t="s">
        <v>37</v>
      </c>
      <c r="L129" s="1">
        <v>44899</v>
      </c>
      <c r="M129" t="s">
        <v>56</v>
      </c>
      <c r="N129" t="s">
        <v>63</v>
      </c>
      <c r="O129">
        <v>12248.775</v>
      </c>
      <c r="P129">
        <v>1113.5250000000001</v>
      </c>
      <c r="Q129">
        <v>0.38</v>
      </c>
    </row>
    <row r="130" spans="1:17">
      <c r="A130" t="s">
        <v>24</v>
      </c>
      <c r="B130" t="s">
        <v>34</v>
      </c>
      <c r="C130" t="s">
        <v>19</v>
      </c>
      <c r="D130" t="s">
        <v>20</v>
      </c>
      <c r="E130">
        <v>0.08</v>
      </c>
      <c r="F130">
        <v>2157.4</v>
      </c>
      <c r="G130">
        <v>0.04</v>
      </c>
      <c r="H130">
        <v>5276</v>
      </c>
      <c r="I130">
        <v>17148</v>
      </c>
      <c r="J130">
        <v>2</v>
      </c>
      <c r="K130" t="s">
        <v>53</v>
      </c>
      <c r="L130" s="1">
        <v>44656</v>
      </c>
      <c r="M130" t="s">
        <v>68</v>
      </c>
      <c r="N130" t="s">
        <v>73</v>
      </c>
      <c r="O130">
        <v>2373.14</v>
      </c>
      <c r="P130">
        <v>215.74</v>
      </c>
      <c r="Q130">
        <v>0.41</v>
      </c>
    </row>
    <row r="131" spans="1:17">
      <c r="A131" t="s">
        <v>67</v>
      </c>
      <c r="B131" t="s">
        <v>18</v>
      </c>
      <c r="C131" t="s">
        <v>19</v>
      </c>
      <c r="D131" t="s">
        <v>36</v>
      </c>
      <c r="E131">
        <v>0.06</v>
      </c>
      <c r="F131">
        <v>3689.65</v>
      </c>
      <c r="G131">
        <v>3.41</v>
      </c>
      <c r="H131">
        <v>9196</v>
      </c>
      <c r="I131">
        <v>28760</v>
      </c>
      <c r="J131">
        <v>2</v>
      </c>
      <c r="K131" t="s">
        <v>53</v>
      </c>
      <c r="L131" s="1">
        <v>44666</v>
      </c>
      <c r="M131" t="s">
        <v>54</v>
      </c>
      <c r="N131" t="s">
        <v>73</v>
      </c>
      <c r="O131">
        <v>4058.6149999999998</v>
      </c>
      <c r="P131">
        <v>368.96499999999997</v>
      </c>
      <c r="Q131">
        <v>0.4</v>
      </c>
    </row>
    <row r="132" spans="1:17">
      <c r="A132" t="s">
        <v>67</v>
      </c>
      <c r="B132" t="s">
        <v>34</v>
      </c>
      <c r="C132" t="s">
        <v>35</v>
      </c>
      <c r="D132" t="s">
        <v>20</v>
      </c>
      <c r="E132">
        <v>0.13</v>
      </c>
      <c r="F132">
        <v>12757.29</v>
      </c>
      <c r="G132">
        <v>3.07</v>
      </c>
      <c r="H132">
        <v>33760</v>
      </c>
      <c r="I132">
        <v>101517</v>
      </c>
      <c r="J132">
        <v>10</v>
      </c>
      <c r="K132" t="s">
        <v>37</v>
      </c>
      <c r="L132" s="1">
        <v>44688</v>
      </c>
      <c r="M132" t="s">
        <v>91</v>
      </c>
      <c r="N132" t="s">
        <v>44</v>
      </c>
      <c r="O132">
        <v>14033.019</v>
      </c>
      <c r="P132">
        <v>1275.729</v>
      </c>
      <c r="Q132">
        <v>0.38</v>
      </c>
    </row>
    <row r="133" spans="1:17">
      <c r="A133" t="s">
        <v>45</v>
      </c>
      <c r="B133" t="s">
        <v>25</v>
      </c>
      <c r="C133" t="s">
        <v>19</v>
      </c>
      <c r="D133" t="s">
        <v>50</v>
      </c>
      <c r="E133">
        <v>0.15</v>
      </c>
      <c r="F133">
        <v>1479.24</v>
      </c>
      <c r="G133">
        <v>3.65</v>
      </c>
      <c r="H133">
        <v>3763</v>
      </c>
      <c r="I133">
        <v>12665</v>
      </c>
      <c r="J133">
        <v>1</v>
      </c>
      <c r="K133" t="s">
        <v>21</v>
      </c>
      <c r="L133" s="1">
        <v>44681</v>
      </c>
      <c r="M133" t="s">
        <v>31</v>
      </c>
      <c r="N133" t="s">
        <v>73</v>
      </c>
      <c r="O133">
        <v>1627.164</v>
      </c>
      <c r="P133">
        <v>147.92400000000001</v>
      </c>
      <c r="Q133">
        <v>0.39</v>
      </c>
    </row>
    <row r="134" spans="1:17">
      <c r="A134" t="s">
        <v>39</v>
      </c>
      <c r="B134" t="s">
        <v>29</v>
      </c>
      <c r="C134" t="s">
        <v>35</v>
      </c>
      <c r="D134" t="s">
        <v>42</v>
      </c>
      <c r="E134">
        <v>0.08</v>
      </c>
      <c r="F134">
        <v>15000</v>
      </c>
      <c r="G134">
        <v>0.98310995018555303</v>
      </c>
      <c r="H134">
        <v>23440</v>
      </c>
      <c r="I134">
        <v>77307</v>
      </c>
      <c r="J134">
        <v>1</v>
      </c>
      <c r="K134" t="s">
        <v>53</v>
      </c>
      <c r="L134" s="1">
        <v>44901</v>
      </c>
      <c r="M134" t="s">
        <v>58</v>
      </c>
      <c r="N134" t="s">
        <v>63</v>
      </c>
      <c r="O134">
        <v>16500</v>
      </c>
      <c r="P134">
        <v>1500</v>
      </c>
      <c r="Q134">
        <v>0.64</v>
      </c>
    </row>
    <row r="135" spans="1:17">
      <c r="A135" t="s">
        <v>49</v>
      </c>
      <c r="B135" t="s">
        <v>25</v>
      </c>
      <c r="C135" t="s">
        <v>30</v>
      </c>
      <c r="D135" t="s">
        <v>36</v>
      </c>
      <c r="E135">
        <v>0.03</v>
      </c>
      <c r="F135">
        <v>5101.7</v>
      </c>
      <c r="G135">
        <v>5.16</v>
      </c>
      <c r="H135">
        <v>13054</v>
      </c>
      <c r="I135">
        <v>40186</v>
      </c>
      <c r="J135">
        <v>5</v>
      </c>
      <c r="K135" t="s">
        <v>51</v>
      </c>
      <c r="L135" s="1">
        <v>44910</v>
      </c>
      <c r="M135" t="s">
        <v>62</v>
      </c>
      <c r="N135" t="s">
        <v>63</v>
      </c>
      <c r="O135">
        <v>5611.87</v>
      </c>
      <c r="P135">
        <v>510.17</v>
      </c>
      <c r="Q135">
        <v>0.39</v>
      </c>
    </row>
    <row r="136" spans="1:17">
      <c r="A136" t="s">
        <v>33</v>
      </c>
      <c r="B136" t="s">
        <v>25</v>
      </c>
      <c r="C136" t="s">
        <v>19</v>
      </c>
      <c r="D136" t="s">
        <v>36</v>
      </c>
      <c r="E136">
        <v>0.02</v>
      </c>
      <c r="F136">
        <v>2696.71</v>
      </c>
      <c r="G136">
        <v>3.23</v>
      </c>
      <c r="H136">
        <v>6600</v>
      </c>
      <c r="I136">
        <v>21069</v>
      </c>
      <c r="J136">
        <v>4</v>
      </c>
      <c r="K136" t="s">
        <v>37</v>
      </c>
      <c r="L136" s="1">
        <v>44908</v>
      </c>
      <c r="M136" t="s">
        <v>90</v>
      </c>
      <c r="N136" t="s">
        <v>63</v>
      </c>
      <c r="O136">
        <v>2966.3809999999999</v>
      </c>
      <c r="P136">
        <v>269.67099999999999</v>
      </c>
      <c r="Q136">
        <v>0.41</v>
      </c>
    </row>
    <row r="137" spans="1:17">
      <c r="A137" t="s">
        <v>17</v>
      </c>
      <c r="B137" t="s">
        <v>29</v>
      </c>
      <c r="C137" t="s">
        <v>30</v>
      </c>
      <c r="D137" t="s">
        <v>20</v>
      </c>
      <c r="E137">
        <v>0.13</v>
      </c>
      <c r="F137">
        <v>4904.92</v>
      </c>
      <c r="G137">
        <v>1.59</v>
      </c>
      <c r="H137">
        <v>12513</v>
      </c>
      <c r="I137">
        <v>38583</v>
      </c>
      <c r="J137">
        <v>8</v>
      </c>
      <c r="K137" t="s">
        <v>51</v>
      </c>
      <c r="L137" s="1">
        <v>44828</v>
      </c>
      <c r="M137" t="s">
        <v>85</v>
      </c>
      <c r="N137" t="s">
        <v>65</v>
      </c>
      <c r="O137">
        <v>5395.4120000000003</v>
      </c>
      <c r="P137">
        <v>490.49200000000002</v>
      </c>
      <c r="Q137">
        <v>0.39</v>
      </c>
    </row>
    <row r="138" spans="1:17">
      <c r="A138" t="s">
        <v>24</v>
      </c>
      <c r="B138" t="s">
        <v>29</v>
      </c>
      <c r="C138" t="s">
        <v>19</v>
      </c>
      <c r="D138" t="s">
        <v>50</v>
      </c>
      <c r="E138">
        <v>0.02</v>
      </c>
      <c r="F138">
        <v>500</v>
      </c>
      <c r="G138">
        <v>7.48</v>
      </c>
      <c r="H138">
        <v>1216</v>
      </c>
      <c r="I138">
        <v>5123</v>
      </c>
      <c r="J138">
        <v>5</v>
      </c>
      <c r="K138" t="s">
        <v>46</v>
      </c>
      <c r="L138" s="1">
        <v>44842</v>
      </c>
      <c r="M138" t="s">
        <v>88</v>
      </c>
      <c r="N138" t="s">
        <v>57</v>
      </c>
      <c r="O138">
        <v>550</v>
      </c>
      <c r="P138">
        <v>50</v>
      </c>
      <c r="Q138">
        <v>0.41</v>
      </c>
    </row>
    <row r="139" spans="1:17">
      <c r="A139" t="s">
        <v>24</v>
      </c>
      <c r="B139" t="s">
        <v>18</v>
      </c>
      <c r="C139" t="s">
        <v>35</v>
      </c>
      <c r="D139" t="s">
        <v>50</v>
      </c>
      <c r="E139">
        <v>0.11</v>
      </c>
      <c r="F139">
        <v>13885.79</v>
      </c>
      <c r="G139">
        <v>2.86</v>
      </c>
      <c r="H139">
        <v>36428</v>
      </c>
      <c r="I139">
        <v>109421</v>
      </c>
      <c r="J139">
        <v>9</v>
      </c>
      <c r="K139" t="s">
        <v>51</v>
      </c>
      <c r="L139" s="1">
        <v>44892</v>
      </c>
      <c r="M139" t="s">
        <v>52</v>
      </c>
      <c r="N139" t="s">
        <v>41</v>
      </c>
      <c r="O139">
        <v>15274.369000000001</v>
      </c>
      <c r="P139">
        <v>1388.579</v>
      </c>
      <c r="Q139">
        <v>0.38</v>
      </c>
    </row>
    <row r="140" spans="1:17">
      <c r="A140" t="s">
        <v>45</v>
      </c>
      <c r="B140" t="s">
        <v>18</v>
      </c>
      <c r="C140" t="s">
        <v>19</v>
      </c>
      <c r="D140" t="s">
        <v>50</v>
      </c>
      <c r="E140">
        <v>0.14000000000000001</v>
      </c>
      <c r="F140">
        <v>2564.9499999999998</v>
      </c>
      <c r="G140">
        <v>6.43</v>
      </c>
      <c r="H140">
        <v>6268</v>
      </c>
      <c r="I140">
        <v>20086</v>
      </c>
      <c r="J140">
        <v>1</v>
      </c>
      <c r="K140" t="s">
        <v>21</v>
      </c>
      <c r="L140" s="1">
        <v>44587</v>
      </c>
      <c r="M140" t="s">
        <v>22</v>
      </c>
      <c r="N140" t="s">
        <v>27</v>
      </c>
      <c r="O140">
        <v>2821.4450000000002</v>
      </c>
      <c r="P140">
        <v>256.495</v>
      </c>
      <c r="Q140">
        <v>0.41</v>
      </c>
    </row>
    <row r="141" spans="1:17">
      <c r="A141" t="s">
        <v>55</v>
      </c>
      <c r="B141" t="s">
        <v>29</v>
      </c>
      <c r="C141" t="s">
        <v>40</v>
      </c>
      <c r="D141" t="s">
        <v>36</v>
      </c>
      <c r="E141">
        <v>0.15</v>
      </c>
      <c r="F141">
        <v>11005.77</v>
      </c>
      <c r="G141">
        <v>3.17</v>
      </c>
      <c r="H141">
        <v>29082</v>
      </c>
      <c r="I141">
        <v>87662</v>
      </c>
      <c r="J141">
        <v>6</v>
      </c>
      <c r="K141" t="s">
        <v>37</v>
      </c>
      <c r="L141" s="1">
        <v>44827</v>
      </c>
      <c r="M141" t="s">
        <v>38</v>
      </c>
      <c r="N141" t="s">
        <v>65</v>
      </c>
      <c r="O141">
        <v>12106.347</v>
      </c>
      <c r="P141">
        <v>1100.577</v>
      </c>
      <c r="Q141">
        <v>0.38</v>
      </c>
    </row>
    <row r="142" spans="1:17">
      <c r="A142" t="s">
        <v>17</v>
      </c>
      <c r="B142" t="s">
        <v>34</v>
      </c>
      <c r="C142" t="s">
        <v>30</v>
      </c>
      <c r="D142" t="s">
        <v>42</v>
      </c>
      <c r="E142">
        <v>0.11</v>
      </c>
      <c r="F142">
        <v>5346.81</v>
      </c>
      <c r="G142">
        <v>0.10188594029195699</v>
      </c>
      <c r="H142">
        <v>8055</v>
      </c>
      <c r="I142">
        <v>27210</v>
      </c>
      <c r="J142">
        <v>1</v>
      </c>
      <c r="K142" t="s">
        <v>21</v>
      </c>
      <c r="L142" s="1">
        <v>44875</v>
      </c>
      <c r="M142" t="s">
        <v>71</v>
      </c>
      <c r="N142" t="s">
        <v>41</v>
      </c>
      <c r="O142">
        <v>5881.491</v>
      </c>
      <c r="P142">
        <v>534.68100000000004</v>
      </c>
      <c r="Q142">
        <v>0.66</v>
      </c>
    </row>
    <row r="143" spans="1:17">
      <c r="A143" t="s">
        <v>49</v>
      </c>
      <c r="B143" t="s">
        <v>25</v>
      </c>
      <c r="C143" t="s">
        <v>35</v>
      </c>
      <c r="D143" t="s">
        <v>50</v>
      </c>
      <c r="E143">
        <v>0.12</v>
      </c>
      <c r="F143">
        <v>13082.96</v>
      </c>
      <c r="G143">
        <v>0.81</v>
      </c>
      <c r="H143">
        <v>34585</v>
      </c>
      <c r="I143">
        <v>103961</v>
      </c>
      <c r="J143">
        <v>5</v>
      </c>
      <c r="K143" t="s">
        <v>37</v>
      </c>
      <c r="L143" s="1">
        <v>44641</v>
      </c>
      <c r="M143" t="s">
        <v>56</v>
      </c>
      <c r="N143" t="s">
        <v>81</v>
      </c>
      <c r="O143">
        <v>14391.255999999999</v>
      </c>
      <c r="P143">
        <v>1308.296</v>
      </c>
      <c r="Q143">
        <v>0.38</v>
      </c>
    </row>
    <row r="144" spans="1:17">
      <c r="A144" t="s">
        <v>67</v>
      </c>
      <c r="B144" t="s">
        <v>18</v>
      </c>
      <c r="C144" t="s">
        <v>30</v>
      </c>
      <c r="D144" t="s">
        <v>20</v>
      </c>
      <c r="E144">
        <v>0.05</v>
      </c>
      <c r="F144">
        <v>6390.56</v>
      </c>
      <c r="G144">
        <v>4.53</v>
      </c>
      <c r="H144">
        <v>16556</v>
      </c>
      <c r="I144">
        <v>50560</v>
      </c>
      <c r="J144">
        <v>8</v>
      </c>
      <c r="K144" t="s">
        <v>51</v>
      </c>
      <c r="L144" s="1">
        <v>44916</v>
      </c>
      <c r="M144" t="s">
        <v>79</v>
      </c>
      <c r="N144" t="s">
        <v>63</v>
      </c>
      <c r="O144">
        <v>7029.616</v>
      </c>
      <c r="P144">
        <v>639.05600000000004</v>
      </c>
      <c r="Q144">
        <v>0.39</v>
      </c>
    </row>
    <row r="145" spans="1:17">
      <c r="A145" t="s">
        <v>39</v>
      </c>
      <c r="B145" t="s">
        <v>29</v>
      </c>
      <c r="C145" t="s">
        <v>40</v>
      </c>
      <c r="D145" t="s">
        <v>20</v>
      </c>
      <c r="E145">
        <v>0.03</v>
      </c>
      <c r="F145">
        <v>10803.75</v>
      </c>
      <c r="G145">
        <v>0.4</v>
      </c>
      <c r="H145">
        <v>28538</v>
      </c>
      <c r="I145">
        <v>86050</v>
      </c>
      <c r="J145">
        <v>7</v>
      </c>
      <c r="K145" t="s">
        <v>46</v>
      </c>
      <c r="L145" s="1">
        <v>44606</v>
      </c>
      <c r="M145" t="s">
        <v>98</v>
      </c>
      <c r="N145" t="s">
        <v>60</v>
      </c>
      <c r="O145">
        <v>11884.125</v>
      </c>
      <c r="P145">
        <v>1080.375</v>
      </c>
      <c r="Q145">
        <v>0.38</v>
      </c>
    </row>
    <row r="146" spans="1:17">
      <c r="A146" t="s">
        <v>55</v>
      </c>
      <c r="B146" t="s">
        <v>34</v>
      </c>
      <c r="C146" t="s">
        <v>40</v>
      </c>
      <c r="D146" t="s">
        <v>20</v>
      </c>
      <c r="E146">
        <v>0.11</v>
      </c>
      <c r="F146">
        <v>10178.459999999999</v>
      </c>
      <c r="G146">
        <v>0.34</v>
      </c>
      <c r="H146">
        <v>26840</v>
      </c>
      <c r="I146">
        <v>81022</v>
      </c>
      <c r="J146">
        <v>7</v>
      </c>
      <c r="K146" t="s">
        <v>21</v>
      </c>
      <c r="L146" s="1">
        <v>44841</v>
      </c>
      <c r="M146" t="s">
        <v>43</v>
      </c>
      <c r="N146" t="s">
        <v>57</v>
      </c>
      <c r="O146">
        <v>11196.306</v>
      </c>
      <c r="P146">
        <v>1017.846</v>
      </c>
      <c r="Q146">
        <v>0.38</v>
      </c>
    </row>
    <row r="147" spans="1:17">
      <c r="A147" t="s">
        <v>45</v>
      </c>
      <c r="B147" t="s">
        <v>25</v>
      </c>
      <c r="C147" t="s">
        <v>35</v>
      </c>
      <c r="D147" t="s">
        <v>36</v>
      </c>
      <c r="E147">
        <v>0.13</v>
      </c>
      <c r="F147">
        <v>11584.98</v>
      </c>
      <c r="G147">
        <v>2.65</v>
      </c>
      <c r="H147">
        <v>30675</v>
      </c>
      <c r="I147">
        <v>92379</v>
      </c>
      <c r="J147">
        <v>4</v>
      </c>
      <c r="K147" t="s">
        <v>37</v>
      </c>
      <c r="L147" s="1">
        <v>44912</v>
      </c>
      <c r="M147" t="s">
        <v>90</v>
      </c>
      <c r="N147" t="s">
        <v>63</v>
      </c>
      <c r="O147">
        <v>12743.477999999999</v>
      </c>
      <c r="P147">
        <v>1158.498</v>
      </c>
      <c r="Q147">
        <v>0.38</v>
      </c>
    </row>
    <row r="148" spans="1:17">
      <c r="A148" t="s">
        <v>49</v>
      </c>
      <c r="B148" t="s">
        <v>25</v>
      </c>
      <c r="C148" t="s">
        <v>35</v>
      </c>
      <c r="D148" t="s">
        <v>36</v>
      </c>
      <c r="E148">
        <v>0.15</v>
      </c>
      <c r="F148">
        <v>14991.15</v>
      </c>
      <c r="G148">
        <v>6.06</v>
      </c>
      <c r="H148">
        <v>38398</v>
      </c>
      <c r="I148">
        <v>115257</v>
      </c>
      <c r="J148">
        <v>7</v>
      </c>
      <c r="K148" t="s">
        <v>51</v>
      </c>
      <c r="L148" s="1">
        <v>44851</v>
      </c>
      <c r="M148" t="s">
        <v>92</v>
      </c>
      <c r="N148" t="s">
        <v>57</v>
      </c>
      <c r="O148">
        <v>16490.264999999999</v>
      </c>
      <c r="P148">
        <v>1499.11499999999</v>
      </c>
      <c r="Q148">
        <v>0.39</v>
      </c>
    </row>
    <row r="149" spans="1:17">
      <c r="A149" t="s">
        <v>45</v>
      </c>
      <c r="B149" t="s">
        <v>18</v>
      </c>
      <c r="C149" t="s">
        <v>40</v>
      </c>
      <c r="D149" t="s">
        <v>36</v>
      </c>
      <c r="E149">
        <v>0.04</v>
      </c>
      <c r="F149">
        <v>10811.68</v>
      </c>
      <c r="G149">
        <v>3.71</v>
      </c>
      <c r="H149">
        <v>28560</v>
      </c>
      <c r="I149">
        <v>86116</v>
      </c>
      <c r="J149">
        <v>6</v>
      </c>
      <c r="K149" t="s">
        <v>46</v>
      </c>
      <c r="L149" s="1">
        <v>44737</v>
      </c>
      <c r="M149" t="s">
        <v>95</v>
      </c>
      <c r="N149" t="s">
        <v>69</v>
      </c>
      <c r="O149">
        <v>11892.848</v>
      </c>
      <c r="P149">
        <v>1081.1679999999999</v>
      </c>
      <c r="Q149">
        <v>0.38</v>
      </c>
    </row>
    <row r="150" spans="1:17">
      <c r="A150" t="s">
        <v>45</v>
      </c>
      <c r="B150" t="s">
        <v>34</v>
      </c>
      <c r="C150" t="s">
        <v>40</v>
      </c>
      <c r="D150" t="s">
        <v>42</v>
      </c>
      <c r="E150">
        <v>0.06</v>
      </c>
      <c r="F150">
        <v>9041.4699999999993</v>
      </c>
      <c r="G150">
        <v>0.96523522381854299</v>
      </c>
      <c r="H150">
        <v>13940</v>
      </c>
      <c r="I150">
        <v>46373</v>
      </c>
      <c r="J150">
        <v>1</v>
      </c>
      <c r="K150" t="s">
        <v>53</v>
      </c>
      <c r="L150" s="1">
        <v>44669</v>
      </c>
      <c r="M150" t="s">
        <v>54</v>
      </c>
      <c r="N150" t="s">
        <v>73</v>
      </c>
      <c r="O150">
        <v>9945.6170000000002</v>
      </c>
      <c r="P150">
        <v>904.14700000000005</v>
      </c>
      <c r="Q150">
        <v>0.65</v>
      </c>
    </row>
    <row r="151" spans="1:17">
      <c r="A151" t="s">
        <v>55</v>
      </c>
      <c r="B151" t="s">
        <v>34</v>
      </c>
      <c r="C151" t="s">
        <v>30</v>
      </c>
      <c r="D151" t="s">
        <v>50</v>
      </c>
      <c r="E151">
        <v>0.05</v>
      </c>
      <c r="F151">
        <v>6208.54</v>
      </c>
      <c r="G151">
        <v>0.47</v>
      </c>
      <c r="H151">
        <v>16059</v>
      </c>
      <c r="I151">
        <v>49088</v>
      </c>
      <c r="J151">
        <v>1</v>
      </c>
      <c r="K151" t="s">
        <v>51</v>
      </c>
      <c r="L151" s="1">
        <v>44839</v>
      </c>
      <c r="M151" t="s">
        <v>101</v>
      </c>
      <c r="N151" t="s">
        <v>57</v>
      </c>
      <c r="O151">
        <v>6829.3940000000002</v>
      </c>
      <c r="P151">
        <v>620.85400000000004</v>
      </c>
      <c r="Q151">
        <v>0.39</v>
      </c>
    </row>
    <row r="152" spans="1:17">
      <c r="A152" t="s">
        <v>45</v>
      </c>
      <c r="B152" t="s">
        <v>25</v>
      </c>
      <c r="C152" t="s">
        <v>40</v>
      </c>
      <c r="D152" t="s">
        <v>36</v>
      </c>
      <c r="E152">
        <v>0.1</v>
      </c>
      <c r="F152">
        <v>10612.61</v>
      </c>
      <c r="G152">
        <v>0.41</v>
      </c>
      <c r="H152">
        <v>28021</v>
      </c>
      <c r="I152">
        <v>84519</v>
      </c>
      <c r="J152">
        <v>4</v>
      </c>
      <c r="K152" t="s">
        <v>53</v>
      </c>
      <c r="L152" s="1">
        <v>44907</v>
      </c>
      <c r="M152" t="s">
        <v>102</v>
      </c>
      <c r="N152" t="s">
        <v>63</v>
      </c>
      <c r="O152">
        <v>11673.870999999999</v>
      </c>
      <c r="P152">
        <v>1061.261</v>
      </c>
      <c r="Q152">
        <v>0.38</v>
      </c>
    </row>
    <row r="153" spans="1:17">
      <c r="A153" t="s">
        <v>24</v>
      </c>
      <c r="B153" t="s">
        <v>34</v>
      </c>
      <c r="C153" t="s">
        <v>40</v>
      </c>
      <c r="D153" t="s">
        <v>36</v>
      </c>
      <c r="E153">
        <v>0.03</v>
      </c>
      <c r="F153">
        <v>11232.55</v>
      </c>
      <c r="G153">
        <v>4.46</v>
      </c>
      <c r="H153">
        <v>29717</v>
      </c>
      <c r="I153">
        <v>89543</v>
      </c>
      <c r="J153">
        <v>4</v>
      </c>
      <c r="K153" t="s">
        <v>46</v>
      </c>
      <c r="L153" s="1">
        <v>44731</v>
      </c>
      <c r="M153" t="s">
        <v>70</v>
      </c>
      <c r="N153" t="s">
        <v>69</v>
      </c>
      <c r="O153">
        <v>12355.805</v>
      </c>
      <c r="P153">
        <v>1123.2550000000001</v>
      </c>
      <c r="Q153">
        <v>0.38</v>
      </c>
    </row>
    <row r="154" spans="1:17">
      <c r="A154" t="s">
        <v>17</v>
      </c>
      <c r="B154" t="s">
        <v>34</v>
      </c>
      <c r="C154" t="s">
        <v>19</v>
      </c>
      <c r="D154" t="s">
        <v>36</v>
      </c>
      <c r="E154">
        <v>0.05</v>
      </c>
      <c r="F154">
        <v>2493.9499999999998</v>
      </c>
      <c r="G154">
        <v>2.31</v>
      </c>
      <c r="H154">
        <v>6094</v>
      </c>
      <c r="I154">
        <v>19572</v>
      </c>
      <c r="J154">
        <v>6</v>
      </c>
      <c r="K154" t="s">
        <v>46</v>
      </c>
      <c r="L154" s="1">
        <v>44661</v>
      </c>
      <c r="M154" t="s">
        <v>47</v>
      </c>
      <c r="N154" t="s">
        <v>73</v>
      </c>
      <c r="O154">
        <v>2743.3449999999998</v>
      </c>
      <c r="P154">
        <v>249.39499999999899</v>
      </c>
      <c r="Q154">
        <v>0.41</v>
      </c>
    </row>
    <row r="155" spans="1:17">
      <c r="A155" t="s">
        <v>45</v>
      </c>
      <c r="B155" t="s">
        <v>18</v>
      </c>
      <c r="C155" t="s">
        <v>40</v>
      </c>
      <c r="D155" t="s">
        <v>36</v>
      </c>
      <c r="E155">
        <v>0.13</v>
      </c>
      <c r="F155">
        <v>11322.58</v>
      </c>
      <c r="G155">
        <v>7.16</v>
      </c>
      <c r="H155">
        <v>29957</v>
      </c>
      <c r="I155">
        <v>90254</v>
      </c>
      <c r="J155">
        <v>5</v>
      </c>
      <c r="K155" t="s">
        <v>21</v>
      </c>
      <c r="L155" s="1">
        <v>44597</v>
      </c>
      <c r="M155" t="s">
        <v>71</v>
      </c>
      <c r="N155" t="s">
        <v>60</v>
      </c>
      <c r="O155">
        <v>12454.838</v>
      </c>
      <c r="P155">
        <v>1132.258</v>
      </c>
      <c r="Q155">
        <v>0.38</v>
      </c>
    </row>
    <row r="156" spans="1:17">
      <c r="A156" t="s">
        <v>45</v>
      </c>
      <c r="B156" t="s">
        <v>25</v>
      </c>
      <c r="C156" t="s">
        <v>30</v>
      </c>
      <c r="D156" t="s">
        <v>42</v>
      </c>
      <c r="E156">
        <v>0.13</v>
      </c>
      <c r="F156">
        <v>7372.25</v>
      </c>
      <c r="G156">
        <v>0.71141410940700001</v>
      </c>
      <c r="H156">
        <v>11273</v>
      </c>
      <c r="I156">
        <v>37690</v>
      </c>
      <c r="J156">
        <v>1</v>
      </c>
      <c r="K156" t="s">
        <v>51</v>
      </c>
      <c r="L156" s="1">
        <v>44872</v>
      </c>
      <c r="M156" t="s">
        <v>101</v>
      </c>
      <c r="N156" t="s">
        <v>41</v>
      </c>
      <c r="O156">
        <v>8109.4750000000004</v>
      </c>
      <c r="P156">
        <v>737.22500000000002</v>
      </c>
      <c r="Q156">
        <v>0.65</v>
      </c>
    </row>
    <row r="157" spans="1:17">
      <c r="A157" t="s">
        <v>55</v>
      </c>
      <c r="B157" t="s">
        <v>29</v>
      </c>
      <c r="C157" t="s">
        <v>19</v>
      </c>
      <c r="D157" t="s">
        <v>42</v>
      </c>
      <c r="E157">
        <v>0.06</v>
      </c>
      <c r="F157">
        <v>3175.15</v>
      </c>
      <c r="G157">
        <v>0.82223741288246199</v>
      </c>
      <c r="H157">
        <v>4598</v>
      </c>
      <c r="I157">
        <v>15955</v>
      </c>
      <c r="J157">
        <v>1</v>
      </c>
      <c r="K157" t="s">
        <v>53</v>
      </c>
      <c r="L157" s="1">
        <v>44862</v>
      </c>
      <c r="M157" t="s">
        <v>102</v>
      </c>
      <c r="N157" t="s">
        <v>57</v>
      </c>
      <c r="O157">
        <v>3492.665</v>
      </c>
      <c r="P157">
        <v>317.51499999999999</v>
      </c>
      <c r="Q157">
        <v>0.69</v>
      </c>
    </row>
    <row r="158" spans="1:17">
      <c r="A158" t="s">
        <v>33</v>
      </c>
      <c r="B158" t="s">
        <v>25</v>
      </c>
      <c r="C158" t="s">
        <v>40</v>
      </c>
      <c r="D158" t="s">
        <v>20</v>
      </c>
      <c r="E158">
        <v>0.12</v>
      </c>
      <c r="F158">
        <v>11340.84</v>
      </c>
      <c r="G158">
        <v>4.63</v>
      </c>
      <c r="H158">
        <v>30004</v>
      </c>
      <c r="I158">
        <v>90394</v>
      </c>
      <c r="J158">
        <v>9</v>
      </c>
      <c r="K158" t="s">
        <v>51</v>
      </c>
      <c r="L158" s="1">
        <v>44672</v>
      </c>
      <c r="M158" t="s">
        <v>72</v>
      </c>
      <c r="N158" t="s">
        <v>73</v>
      </c>
      <c r="O158">
        <v>12474.924000000001</v>
      </c>
      <c r="P158">
        <v>1134.0840000000001</v>
      </c>
      <c r="Q158">
        <v>0.38</v>
      </c>
    </row>
    <row r="159" spans="1:17">
      <c r="A159" t="s">
        <v>28</v>
      </c>
      <c r="B159" t="s">
        <v>29</v>
      </c>
      <c r="C159" t="s">
        <v>30</v>
      </c>
      <c r="D159" t="s">
        <v>20</v>
      </c>
      <c r="E159">
        <v>0.09</v>
      </c>
      <c r="F159">
        <v>4537.78</v>
      </c>
      <c r="G159">
        <v>6.51</v>
      </c>
      <c r="H159">
        <v>11514</v>
      </c>
      <c r="I159">
        <v>35625</v>
      </c>
      <c r="J159">
        <v>4</v>
      </c>
      <c r="K159" t="s">
        <v>53</v>
      </c>
      <c r="L159" s="1">
        <v>44562</v>
      </c>
      <c r="M159" t="s">
        <v>68</v>
      </c>
      <c r="N159" t="s">
        <v>27</v>
      </c>
      <c r="O159">
        <v>4991.558</v>
      </c>
      <c r="P159">
        <v>453.77800000000002</v>
      </c>
      <c r="Q159">
        <v>0.39</v>
      </c>
    </row>
    <row r="160" spans="1:17">
      <c r="A160" t="s">
        <v>67</v>
      </c>
      <c r="B160" t="s">
        <v>34</v>
      </c>
      <c r="C160" t="s">
        <v>19</v>
      </c>
      <c r="D160" t="s">
        <v>36</v>
      </c>
      <c r="E160">
        <v>0.08</v>
      </c>
      <c r="F160">
        <v>3487.84</v>
      </c>
      <c r="G160">
        <v>7.25</v>
      </c>
      <c r="H160">
        <v>8652</v>
      </c>
      <c r="I160">
        <v>27147</v>
      </c>
      <c r="J160">
        <v>1</v>
      </c>
      <c r="K160" t="s">
        <v>37</v>
      </c>
      <c r="L160" s="1">
        <v>44864</v>
      </c>
      <c r="M160" t="s">
        <v>89</v>
      </c>
      <c r="N160" t="s">
        <v>57</v>
      </c>
      <c r="O160">
        <v>3836.6239999999998</v>
      </c>
      <c r="P160">
        <v>348.78399999999999</v>
      </c>
      <c r="Q160">
        <v>0.4</v>
      </c>
    </row>
    <row r="161" spans="1:17">
      <c r="A161" t="s">
        <v>33</v>
      </c>
      <c r="B161" t="s">
        <v>18</v>
      </c>
      <c r="C161" t="s">
        <v>40</v>
      </c>
      <c r="D161" t="s">
        <v>50</v>
      </c>
      <c r="E161">
        <v>0.09</v>
      </c>
      <c r="F161">
        <v>7933.99</v>
      </c>
      <c r="G161">
        <v>5.57</v>
      </c>
      <c r="H161">
        <v>20732</v>
      </c>
      <c r="I161">
        <v>62929</v>
      </c>
      <c r="J161">
        <v>1</v>
      </c>
      <c r="K161" t="s">
        <v>21</v>
      </c>
      <c r="L161" s="1">
        <v>44916</v>
      </c>
      <c r="M161" t="s">
        <v>80</v>
      </c>
      <c r="N161" t="s">
        <v>63</v>
      </c>
      <c r="O161">
        <v>8727.3889999999992</v>
      </c>
      <c r="P161">
        <v>793.39900000000102</v>
      </c>
      <c r="Q161">
        <v>0.38</v>
      </c>
    </row>
    <row r="162" spans="1:17">
      <c r="A162" t="s">
        <v>28</v>
      </c>
      <c r="B162" t="s">
        <v>29</v>
      </c>
      <c r="C162" t="s">
        <v>40</v>
      </c>
      <c r="D162" t="s">
        <v>50</v>
      </c>
      <c r="E162">
        <v>0.09</v>
      </c>
      <c r="F162">
        <v>8033.86</v>
      </c>
      <c r="G162">
        <v>6.24</v>
      </c>
      <c r="H162">
        <v>21008</v>
      </c>
      <c r="I162">
        <v>63745</v>
      </c>
      <c r="J162">
        <v>10</v>
      </c>
      <c r="K162" t="s">
        <v>51</v>
      </c>
      <c r="L162" s="1">
        <v>44725</v>
      </c>
      <c r="M162" t="s">
        <v>75</v>
      </c>
      <c r="N162" t="s">
        <v>69</v>
      </c>
      <c r="O162">
        <v>8837.2459999999992</v>
      </c>
      <c r="P162">
        <v>803.38600000000099</v>
      </c>
      <c r="Q162">
        <v>0.38</v>
      </c>
    </row>
    <row r="163" spans="1:17">
      <c r="A163" t="s">
        <v>33</v>
      </c>
      <c r="B163" t="s">
        <v>18</v>
      </c>
      <c r="C163" t="s">
        <v>40</v>
      </c>
      <c r="D163" t="s">
        <v>42</v>
      </c>
      <c r="E163">
        <v>0.13</v>
      </c>
      <c r="F163">
        <v>9711.0499999999993</v>
      </c>
      <c r="G163">
        <v>0.97417258700204801</v>
      </c>
      <c r="H163">
        <v>15016</v>
      </c>
      <c r="I163">
        <v>49877</v>
      </c>
      <c r="J163">
        <v>1</v>
      </c>
      <c r="K163" t="s">
        <v>51</v>
      </c>
      <c r="L163" s="1">
        <v>44837</v>
      </c>
      <c r="M163" t="s">
        <v>59</v>
      </c>
      <c r="N163" t="s">
        <v>57</v>
      </c>
      <c r="O163">
        <v>10682.155000000001</v>
      </c>
      <c r="P163">
        <v>971.10500000000104</v>
      </c>
      <c r="Q163">
        <v>0.65</v>
      </c>
    </row>
    <row r="164" spans="1:17">
      <c r="A164" t="s">
        <v>24</v>
      </c>
      <c r="B164" t="s">
        <v>34</v>
      </c>
      <c r="C164" t="s">
        <v>35</v>
      </c>
      <c r="D164" t="s">
        <v>20</v>
      </c>
      <c r="E164">
        <v>0.08</v>
      </c>
      <c r="F164">
        <v>11679.76</v>
      </c>
      <c r="G164">
        <v>0.04</v>
      </c>
      <c r="H164">
        <v>30921</v>
      </c>
      <c r="I164">
        <v>93109</v>
      </c>
      <c r="J164">
        <v>7</v>
      </c>
      <c r="K164" t="s">
        <v>21</v>
      </c>
      <c r="L164" s="1">
        <v>44776</v>
      </c>
      <c r="M164" t="s">
        <v>22</v>
      </c>
      <c r="N164" t="s">
        <v>32</v>
      </c>
      <c r="O164">
        <v>12847.736000000001</v>
      </c>
      <c r="P164">
        <v>1167.9760000000001</v>
      </c>
      <c r="Q164">
        <v>0.38</v>
      </c>
    </row>
    <row r="165" spans="1:17">
      <c r="A165" t="s">
        <v>24</v>
      </c>
      <c r="B165" t="s">
        <v>25</v>
      </c>
      <c r="C165" t="s">
        <v>40</v>
      </c>
      <c r="D165" t="s">
        <v>50</v>
      </c>
      <c r="E165">
        <v>0.09</v>
      </c>
      <c r="F165">
        <v>10229.77</v>
      </c>
      <c r="G165">
        <v>7.15</v>
      </c>
      <c r="H165">
        <v>26981</v>
      </c>
      <c r="I165">
        <v>81437</v>
      </c>
      <c r="J165">
        <v>6</v>
      </c>
      <c r="K165" t="s">
        <v>21</v>
      </c>
      <c r="L165" s="1">
        <v>44569</v>
      </c>
      <c r="M165" t="s">
        <v>103</v>
      </c>
      <c r="N165" t="s">
        <v>27</v>
      </c>
      <c r="O165">
        <v>11252.746999999999</v>
      </c>
      <c r="P165">
        <v>1022.977</v>
      </c>
      <c r="Q165">
        <v>0.38</v>
      </c>
    </row>
    <row r="166" spans="1:17">
      <c r="A166" t="s">
        <v>28</v>
      </c>
      <c r="B166" t="s">
        <v>29</v>
      </c>
      <c r="C166" t="s">
        <v>19</v>
      </c>
      <c r="D166" t="s">
        <v>36</v>
      </c>
      <c r="E166">
        <v>0.03</v>
      </c>
      <c r="F166">
        <v>3353.84</v>
      </c>
      <c r="G166">
        <v>5.48</v>
      </c>
      <c r="H166">
        <v>8303</v>
      </c>
      <c r="I166">
        <v>26114</v>
      </c>
      <c r="J166">
        <v>5</v>
      </c>
      <c r="K166" t="s">
        <v>37</v>
      </c>
      <c r="L166" s="1">
        <v>44800</v>
      </c>
      <c r="M166" t="s">
        <v>94</v>
      </c>
      <c r="N166" t="s">
        <v>32</v>
      </c>
      <c r="O166">
        <v>3689.2240000000002</v>
      </c>
      <c r="P166">
        <v>335.38400000000001</v>
      </c>
      <c r="Q166">
        <v>0.4</v>
      </c>
    </row>
    <row r="167" spans="1:17">
      <c r="A167" t="s">
        <v>49</v>
      </c>
      <c r="B167" t="s">
        <v>29</v>
      </c>
      <c r="C167" t="s">
        <v>35</v>
      </c>
      <c r="D167" t="s">
        <v>50</v>
      </c>
      <c r="E167">
        <v>7.0000000000000007E-2</v>
      </c>
      <c r="F167">
        <v>13279.38</v>
      </c>
      <c r="G167">
        <v>0.74</v>
      </c>
      <c r="H167">
        <v>35060</v>
      </c>
      <c r="I167">
        <v>105370</v>
      </c>
      <c r="J167">
        <v>9</v>
      </c>
      <c r="K167" t="s">
        <v>46</v>
      </c>
      <c r="L167" s="1">
        <v>44687</v>
      </c>
      <c r="M167" t="s">
        <v>76</v>
      </c>
      <c r="N167" t="s">
        <v>44</v>
      </c>
      <c r="O167">
        <v>14607.317999999999</v>
      </c>
      <c r="P167">
        <v>1327.9380000000001</v>
      </c>
      <c r="Q167">
        <v>0.38</v>
      </c>
    </row>
    <row r="168" spans="1:17">
      <c r="A168" t="s">
        <v>49</v>
      </c>
      <c r="B168" t="s">
        <v>25</v>
      </c>
      <c r="C168" t="s">
        <v>40</v>
      </c>
      <c r="D168" t="s">
        <v>20</v>
      </c>
      <c r="E168">
        <v>0.02</v>
      </c>
      <c r="F168">
        <v>9625.86</v>
      </c>
      <c r="G168">
        <v>1.45</v>
      </c>
      <c r="H168">
        <v>25330</v>
      </c>
      <c r="I168">
        <v>76547</v>
      </c>
      <c r="J168">
        <v>7</v>
      </c>
      <c r="K168" t="s">
        <v>53</v>
      </c>
      <c r="L168" s="1">
        <v>44882</v>
      </c>
      <c r="M168" t="s">
        <v>84</v>
      </c>
      <c r="N168" t="s">
        <v>41</v>
      </c>
      <c r="O168">
        <v>10588.446</v>
      </c>
      <c r="P168">
        <v>962.58600000000104</v>
      </c>
      <c r="Q168">
        <v>0.38</v>
      </c>
    </row>
    <row r="169" spans="1:17">
      <c r="A169" t="s">
        <v>33</v>
      </c>
      <c r="B169" t="s">
        <v>18</v>
      </c>
      <c r="C169" t="s">
        <v>30</v>
      </c>
      <c r="D169" t="s">
        <v>36</v>
      </c>
      <c r="E169">
        <v>0.11</v>
      </c>
      <c r="F169">
        <v>6873.91</v>
      </c>
      <c r="G169">
        <v>0.56000000000000005</v>
      </c>
      <c r="H169">
        <v>17855</v>
      </c>
      <c r="I169">
        <v>54407</v>
      </c>
      <c r="J169">
        <v>2</v>
      </c>
      <c r="K169" t="s">
        <v>51</v>
      </c>
      <c r="L169" s="1">
        <v>44659</v>
      </c>
      <c r="M169" t="s">
        <v>72</v>
      </c>
      <c r="N169" t="s">
        <v>73</v>
      </c>
      <c r="O169">
        <v>7561.3010000000004</v>
      </c>
      <c r="P169">
        <v>687.39099999999996</v>
      </c>
      <c r="Q169">
        <v>0.38</v>
      </c>
    </row>
    <row r="170" spans="1:17">
      <c r="A170" t="s">
        <v>67</v>
      </c>
      <c r="B170" t="s">
        <v>25</v>
      </c>
      <c r="C170" t="s">
        <v>19</v>
      </c>
      <c r="D170" t="s">
        <v>20</v>
      </c>
      <c r="E170">
        <v>7.0000000000000007E-2</v>
      </c>
      <c r="F170">
        <v>4071.66</v>
      </c>
      <c r="G170">
        <v>1.5</v>
      </c>
      <c r="H170">
        <v>10236</v>
      </c>
      <c r="I170">
        <v>31840</v>
      </c>
      <c r="J170">
        <v>4</v>
      </c>
      <c r="K170" t="s">
        <v>53</v>
      </c>
      <c r="L170" s="1">
        <v>44780</v>
      </c>
      <c r="M170" t="s">
        <v>54</v>
      </c>
      <c r="N170" t="s">
        <v>32</v>
      </c>
      <c r="O170">
        <v>4478.826</v>
      </c>
      <c r="P170">
        <v>407.166</v>
      </c>
      <c r="Q170">
        <v>0.4</v>
      </c>
    </row>
    <row r="171" spans="1:17">
      <c r="A171" t="s">
        <v>67</v>
      </c>
      <c r="B171" t="s">
        <v>34</v>
      </c>
      <c r="C171" t="s">
        <v>40</v>
      </c>
      <c r="D171" t="s">
        <v>20</v>
      </c>
      <c r="E171">
        <v>0.14000000000000001</v>
      </c>
      <c r="F171">
        <v>7965.35</v>
      </c>
      <c r="G171">
        <v>6.89</v>
      </c>
      <c r="H171">
        <v>20817</v>
      </c>
      <c r="I171">
        <v>63180</v>
      </c>
      <c r="J171">
        <v>5</v>
      </c>
      <c r="K171" t="s">
        <v>51</v>
      </c>
      <c r="L171" s="1">
        <v>44722</v>
      </c>
      <c r="M171" t="s">
        <v>85</v>
      </c>
      <c r="N171" t="s">
        <v>69</v>
      </c>
      <c r="O171">
        <v>8761.8850000000002</v>
      </c>
      <c r="P171">
        <v>796.53499999999894</v>
      </c>
      <c r="Q171">
        <v>0.38</v>
      </c>
    </row>
    <row r="172" spans="1:17">
      <c r="A172" t="s">
        <v>28</v>
      </c>
      <c r="B172" t="s">
        <v>34</v>
      </c>
      <c r="C172" t="s">
        <v>40</v>
      </c>
      <c r="D172" t="s">
        <v>20</v>
      </c>
      <c r="E172">
        <v>0.03</v>
      </c>
      <c r="F172">
        <v>8582.73</v>
      </c>
      <c r="G172">
        <v>0.08</v>
      </c>
      <c r="H172">
        <v>22513</v>
      </c>
      <c r="I172">
        <v>68205</v>
      </c>
      <c r="J172">
        <v>6</v>
      </c>
      <c r="K172" t="s">
        <v>37</v>
      </c>
      <c r="L172" s="1">
        <v>44593</v>
      </c>
      <c r="M172" t="s">
        <v>74</v>
      </c>
      <c r="N172" t="s">
        <v>60</v>
      </c>
      <c r="O172">
        <v>9441.0030000000006</v>
      </c>
      <c r="P172">
        <v>858.27300000000105</v>
      </c>
      <c r="Q172">
        <v>0.38</v>
      </c>
    </row>
    <row r="173" spans="1:17">
      <c r="A173" t="s">
        <v>39</v>
      </c>
      <c r="B173" t="s">
        <v>29</v>
      </c>
      <c r="C173" t="s">
        <v>35</v>
      </c>
      <c r="D173" t="s">
        <v>42</v>
      </c>
      <c r="E173">
        <v>0.05</v>
      </c>
      <c r="F173">
        <v>14171.92</v>
      </c>
      <c r="G173">
        <v>0.81330004969895697</v>
      </c>
      <c r="H173">
        <v>21744</v>
      </c>
      <c r="I173">
        <v>71784</v>
      </c>
      <c r="J173">
        <v>1</v>
      </c>
      <c r="K173" t="s">
        <v>37</v>
      </c>
      <c r="L173" s="1">
        <v>44817</v>
      </c>
      <c r="M173" t="s">
        <v>94</v>
      </c>
      <c r="N173" t="s">
        <v>65</v>
      </c>
      <c r="O173">
        <v>15589.111999999999</v>
      </c>
      <c r="P173">
        <v>1417.192</v>
      </c>
      <c r="Q173">
        <v>0.65</v>
      </c>
    </row>
    <row r="174" spans="1:17">
      <c r="A174" t="s">
        <v>55</v>
      </c>
      <c r="B174" t="s">
        <v>18</v>
      </c>
      <c r="C174" t="s">
        <v>40</v>
      </c>
      <c r="D174" t="s">
        <v>20</v>
      </c>
      <c r="E174">
        <v>0.02</v>
      </c>
      <c r="F174">
        <v>10024.879999999999</v>
      </c>
      <c r="G174">
        <v>4.8600000000000003</v>
      </c>
      <c r="H174">
        <v>26416</v>
      </c>
      <c r="I174">
        <v>79765</v>
      </c>
      <c r="J174">
        <v>3</v>
      </c>
      <c r="K174" t="s">
        <v>53</v>
      </c>
      <c r="L174" s="1">
        <v>44621</v>
      </c>
      <c r="M174" t="s">
        <v>102</v>
      </c>
      <c r="N174" t="s">
        <v>81</v>
      </c>
      <c r="O174">
        <v>11027.368</v>
      </c>
      <c r="P174">
        <v>1002.4880000000001</v>
      </c>
      <c r="Q174">
        <v>0.38</v>
      </c>
    </row>
    <row r="175" spans="1:17">
      <c r="A175" t="s">
        <v>45</v>
      </c>
      <c r="B175" t="s">
        <v>25</v>
      </c>
      <c r="C175" t="s">
        <v>30</v>
      </c>
      <c r="D175" t="s">
        <v>50</v>
      </c>
      <c r="E175">
        <v>0.13</v>
      </c>
      <c r="F175">
        <v>4924.8900000000003</v>
      </c>
      <c r="G175">
        <v>7.9</v>
      </c>
      <c r="H175">
        <v>12572</v>
      </c>
      <c r="I175">
        <v>38759</v>
      </c>
      <c r="J175">
        <v>9</v>
      </c>
      <c r="K175" t="s">
        <v>21</v>
      </c>
      <c r="L175" s="1">
        <v>44735</v>
      </c>
      <c r="M175" t="s">
        <v>71</v>
      </c>
      <c r="N175" t="s">
        <v>69</v>
      </c>
      <c r="O175">
        <v>5417.3789999999999</v>
      </c>
      <c r="P175">
        <v>492.48899999999998</v>
      </c>
      <c r="Q175">
        <v>0.39</v>
      </c>
    </row>
    <row r="176" spans="1:17">
      <c r="A176" t="s">
        <v>33</v>
      </c>
      <c r="B176" t="s">
        <v>34</v>
      </c>
      <c r="C176" t="s">
        <v>40</v>
      </c>
      <c r="D176" t="s">
        <v>42</v>
      </c>
      <c r="E176">
        <v>0.13</v>
      </c>
      <c r="F176">
        <v>8337.5499999999993</v>
      </c>
      <c r="G176">
        <v>0.77576312432823602</v>
      </c>
      <c r="H176">
        <v>12827</v>
      </c>
      <c r="I176">
        <v>42750</v>
      </c>
      <c r="J176">
        <v>1</v>
      </c>
      <c r="K176" t="s">
        <v>37</v>
      </c>
      <c r="L176" s="1">
        <v>44642</v>
      </c>
      <c r="M176" t="s">
        <v>99</v>
      </c>
      <c r="N176" t="s">
        <v>81</v>
      </c>
      <c r="O176">
        <v>9171.3050000000003</v>
      </c>
      <c r="P176">
        <v>833.75500000000102</v>
      </c>
      <c r="Q176">
        <v>0.65</v>
      </c>
    </row>
    <row r="177" spans="1:17">
      <c r="A177" t="s">
        <v>45</v>
      </c>
      <c r="B177" t="s">
        <v>29</v>
      </c>
      <c r="C177" t="s">
        <v>35</v>
      </c>
      <c r="D177" t="s">
        <v>20</v>
      </c>
      <c r="E177">
        <v>0.03</v>
      </c>
      <c r="F177">
        <v>11680.14</v>
      </c>
      <c r="G177">
        <v>3.14</v>
      </c>
      <c r="H177">
        <v>30922</v>
      </c>
      <c r="I177">
        <v>93112</v>
      </c>
      <c r="J177">
        <v>1</v>
      </c>
      <c r="K177" t="s">
        <v>51</v>
      </c>
      <c r="L177" s="1">
        <v>44765</v>
      </c>
      <c r="M177" t="s">
        <v>85</v>
      </c>
      <c r="N177" t="s">
        <v>23</v>
      </c>
      <c r="O177">
        <v>12848.154</v>
      </c>
      <c r="P177">
        <v>1168.0139999999999</v>
      </c>
      <c r="Q177">
        <v>0.38</v>
      </c>
    </row>
    <row r="178" spans="1:17">
      <c r="A178" t="s">
        <v>24</v>
      </c>
      <c r="B178" t="s">
        <v>29</v>
      </c>
      <c r="C178" t="s">
        <v>19</v>
      </c>
      <c r="D178" t="s">
        <v>42</v>
      </c>
      <c r="E178">
        <v>0.01</v>
      </c>
      <c r="F178">
        <v>3095.93</v>
      </c>
      <c r="G178">
        <v>0.99919720391586198</v>
      </c>
      <c r="H178">
        <v>4478</v>
      </c>
      <c r="I178">
        <v>15563</v>
      </c>
      <c r="J178">
        <v>1</v>
      </c>
      <c r="K178" t="s">
        <v>53</v>
      </c>
      <c r="L178" s="1">
        <v>44596</v>
      </c>
      <c r="M178" t="s">
        <v>58</v>
      </c>
      <c r="N178" t="s">
        <v>60</v>
      </c>
      <c r="O178">
        <v>3405.5230000000001</v>
      </c>
      <c r="P178">
        <v>309.59300000000002</v>
      </c>
      <c r="Q178">
        <v>0.69</v>
      </c>
    </row>
    <row r="179" spans="1:17">
      <c r="A179" t="s">
        <v>17</v>
      </c>
      <c r="B179" t="s">
        <v>18</v>
      </c>
      <c r="C179" t="s">
        <v>35</v>
      </c>
      <c r="D179" t="s">
        <v>20</v>
      </c>
      <c r="E179">
        <v>0.1</v>
      </c>
      <c r="F179">
        <v>12519.78</v>
      </c>
      <c r="G179">
        <v>1.86</v>
      </c>
      <c r="H179">
        <v>33134</v>
      </c>
      <c r="I179">
        <v>99664</v>
      </c>
      <c r="J179">
        <v>4</v>
      </c>
      <c r="K179" t="s">
        <v>21</v>
      </c>
      <c r="L179" s="1">
        <v>44687</v>
      </c>
      <c r="M179" t="s">
        <v>61</v>
      </c>
      <c r="N179" t="s">
        <v>44</v>
      </c>
      <c r="O179">
        <v>13771.758</v>
      </c>
      <c r="P179">
        <v>1251.9780000000001</v>
      </c>
      <c r="Q179">
        <v>0.38</v>
      </c>
    </row>
    <row r="180" spans="1:17">
      <c r="A180" t="s">
        <v>49</v>
      </c>
      <c r="B180" t="s">
        <v>25</v>
      </c>
      <c r="C180" t="s">
        <v>30</v>
      </c>
      <c r="D180" t="s">
        <v>42</v>
      </c>
      <c r="E180">
        <v>0.14000000000000001</v>
      </c>
      <c r="F180">
        <v>5232.6899999999996</v>
      </c>
      <c r="G180">
        <v>0.72392641786390699</v>
      </c>
      <c r="H180">
        <v>7879</v>
      </c>
      <c r="I180">
        <v>26636</v>
      </c>
      <c r="J180">
        <v>1</v>
      </c>
      <c r="K180" t="s">
        <v>53</v>
      </c>
      <c r="L180" s="1">
        <v>44730</v>
      </c>
      <c r="M180" t="s">
        <v>58</v>
      </c>
      <c r="N180" t="s">
        <v>69</v>
      </c>
      <c r="O180">
        <v>5755.9589999999998</v>
      </c>
      <c r="P180">
        <v>523.26900000000001</v>
      </c>
      <c r="Q180">
        <v>0.66</v>
      </c>
    </row>
    <row r="181" spans="1:17">
      <c r="A181" t="s">
        <v>49</v>
      </c>
      <c r="B181" t="s">
        <v>34</v>
      </c>
      <c r="C181" t="s">
        <v>35</v>
      </c>
      <c r="D181" t="s">
        <v>42</v>
      </c>
      <c r="E181">
        <v>0.03</v>
      </c>
      <c r="F181">
        <v>13825.86</v>
      </c>
      <c r="G181">
        <v>1.00455962182596</v>
      </c>
      <c r="H181">
        <v>21321</v>
      </c>
      <c r="I181">
        <v>70405</v>
      </c>
      <c r="J181">
        <v>1</v>
      </c>
      <c r="K181" t="s">
        <v>46</v>
      </c>
      <c r="L181" s="1">
        <v>44740</v>
      </c>
      <c r="M181" t="s">
        <v>76</v>
      </c>
      <c r="N181" t="s">
        <v>69</v>
      </c>
      <c r="O181">
        <v>15208.446</v>
      </c>
      <c r="P181">
        <v>1382.586</v>
      </c>
      <c r="Q181">
        <v>0.65</v>
      </c>
    </row>
    <row r="182" spans="1:17">
      <c r="A182" t="s">
        <v>17</v>
      </c>
      <c r="B182" t="s">
        <v>34</v>
      </c>
      <c r="C182" t="s">
        <v>19</v>
      </c>
      <c r="D182" t="s">
        <v>20</v>
      </c>
      <c r="E182">
        <v>0.08</v>
      </c>
      <c r="F182">
        <v>2609.3000000000002</v>
      </c>
      <c r="G182">
        <v>7.01</v>
      </c>
      <c r="H182">
        <v>6382</v>
      </c>
      <c r="I182">
        <v>20424</v>
      </c>
      <c r="J182">
        <v>3</v>
      </c>
      <c r="K182" t="s">
        <v>46</v>
      </c>
      <c r="L182" s="1">
        <v>44876</v>
      </c>
      <c r="M182" t="s">
        <v>98</v>
      </c>
      <c r="N182" t="s">
        <v>41</v>
      </c>
      <c r="O182">
        <v>2870.23</v>
      </c>
      <c r="P182">
        <v>260.93</v>
      </c>
      <c r="Q182">
        <v>0.41</v>
      </c>
    </row>
    <row r="183" spans="1:17">
      <c r="A183" t="s">
        <v>45</v>
      </c>
      <c r="B183" t="s">
        <v>18</v>
      </c>
      <c r="C183" t="s">
        <v>19</v>
      </c>
      <c r="D183" t="s">
        <v>20</v>
      </c>
      <c r="E183">
        <v>0.11</v>
      </c>
      <c r="F183">
        <v>3195.95</v>
      </c>
      <c r="G183">
        <v>3.6</v>
      </c>
      <c r="H183">
        <v>7883</v>
      </c>
      <c r="I183">
        <v>24870</v>
      </c>
      <c r="J183">
        <v>4</v>
      </c>
      <c r="K183" t="s">
        <v>37</v>
      </c>
      <c r="L183" s="1">
        <v>44695</v>
      </c>
      <c r="M183" t="s">
        <v>91</v>
      </c>
      <c r="N183" t="s">
        <v>44</v>
      </c>
      <c r="O183">
        <v>3515.5450000000001</v>
      </c>
      <c r="P183">
        <v>319.59500000000003</v>
      </c>
      <c r="Q183">
        <v>0.41</v>
      </c>
    </row>
    <row r="184" spans="1:17">
      <c r="A184" t="s">
        <v>55</v>
      </c>
      <c r="B184" t="s">
        <v>25</v>
      </c>
      <c r="C184" t="s">
        <v>30</v>
      </c>
      <c r="D184" t="s">
        <v>50</v>
      </c>
      <c r="E184">
        <v>0.01</v>
      </c>
      <c r="F184">
        <v>6757.53</v>
      </c>
      <c r="G184">
        <v>3.96</v>
      </c>
      <c r="H184">
        <v>17534</v>
      </c>
      <c r="I184">
        <v>53456</v>
      </c>
      <c r="J184">
        <v>5</v>
      </c>
      <c r="K184" t="s">
        <v>21</v>
      </c>
      <c r="L184" s="1">
        <v>44612</v>
      </c>
      <c r="M184" t="s">
        <v>71</v>
      </c>
      <c r="N184" t="s">
        <v>60</v>
      </c>
      <c r="O184">
        <v>7433.2830000000004</v>
      </c>
      <c r="P184">
        <v>675.75300000000004</v>
      </c>
      <c r="Q184">
        <v>0.39</v>
      </c>
    </row>
    <row r="185" spans="1:17">
      <c r="A185" t="s">
        <v>17</v>
      </c>
      <c r="B185" t="s">
        <v>29</v>
      </c>
      <c r="C185" t="s">
        <v>30</v>
      </c>
      <c r="D185" t="s">
        <v>20</v>
      </c>
      <c r="E185">
        <v>0.12</v>
      </c>
      <c r="F185">
        <v>6948.79</v>
      </c>
      <c r="G185">
        <v>7.07</v>
      </c>
      <c r="H185">
        <v>18059</v>
      </c>
      <c r="I185">
        <v>55010</v>
      </c>
      <c r="J185">
        <v>4</v>
      </c>
      <c r="K185" t="s">
        <v>53</v>
      </c>
      <c r="L185" s="1">
        <v>44828</v>
      </c>
      <c r="M185" t="s">
        <v>104</v>
      </c>
      <c r="N185" t="s">
        <v>65</v>
      </c>
      <c r="O185">
        <v>7643.6689999999999</v>
      </c>
      <c r="P185">
        <v>694.87900000000002</v>
      </c>
      <c r="Q185">
        <v>0.38</v>
      </c>
    </row>
    <row r="186" spans="1:17">
      <c r="A186" t="s">
        <v>55</v>
      </c>
      <c r="B186" t="s">
        <v>25</v>
      </c>
      <c r="C186" t="s">
        <v>30</v>
      </c>
      <c r="D186" t="s">
        <v>42</v>
      </c>
      <c r="E186">
        <v>0.09</v>
      </c>
      <c r="F186">
        <v>4645.51</v>
      </c>
      <c r="G186">
        <v>0.61667805966184697</v>
      </c>
      <c r="H186">
        <v>6933</v>
      </c>
      <c r="I186">
        <v>23557</v>
      </c>
      <c r="J186">
        <v>1</v>
      </c>
      <c r="K186" t="s">
        <v>37</v>
      </c>
      <c r="L186" s="1">
        <v>44830</v>
      </c>
      <c r="M186" t="s">
        <v>99</v>
      </c>
      <c r="N186" t="s">
        <v>65</v>
      </c>
      <c r="O186">
        <v>5110.0609999999997</v>
      </c>
      <c r="P186">
        <v>464.55099999999999</v>
      </c>
      <c r="Q186">
        <v>0.67</v>
      </c>
    </row>
    <row r="187" spans="1:17">
      <c r="A187" t="s">
        <v>24</v>
      </c>
      <c r="B187" t="s">
        <v>25</v>
      </c>
      <c r="C187" t="s">
        <v>40</v>
      </c>
      <c r="D187" t="s">
        <v>50</v>
      </c>
      <c r="E187">
        <v>0.09</v>
      </c>
      <c r="F187">
        <v>9765.52</v>
      </c>
      <c r="G187">
        <v>2.5</v>
      </c>
      <c r="H187">
        <v>25722</v>
      </c>
      <c r="I187">
        <v>77708</v>
      </c>
      <c r="J187">
        <v>4</v>
      </c>
      <c r="K187" t="s">
        <v>51</v>
      </c>
      <c r="L187" s="1">
        <v>44811</v>
      </c>
      <c r="M187" t="s">
        <v>97</v>
      </c>
      <c r="N187" t="s">
        <v>65</v>
      </c>
      <c r="O187">
        <v>10742.072</v>
      </c>
      <c r="P187">
        <v>976.55200000000104</v>
      </c>
      <c r="Q187">
        <v>0.38</v>
      </c>
    </row>
    <row r="188" spans="1:17">
      <c r="A188" t="s">
        <v>28</v>
      </c>
      <c r="B188" t="s">
        <v>34</v>
      </c>
      <c r="C188" t="s">
        <v>40</v>
      </c>
      <c r="D188" t="s">
        <v>50</v>
      </c>
      <c r="E188">
        <v>0.11</v>
      </c>
      <c r="F188">
        <v>11082.16</v>
      </c>
      <c r="G188">
        <v>5.7</v>
      </c>
      <c r="H188">
        <v>29299</v>
      </c>
      <c r="I188">
        <v>88304</v>
      </c>
      <c r="J188">
        <v>10</v>
      </c>
      <c r="K188" t="s">
        <v>46</v>
      </c>
      <c r="L188" s="1">
        <v>44589</v>
      </c>
      <c r="M188" t="s">
        <v>76</v>
      </c>
      <c r="N188" t="s">
        <v>27</v>
      </c>
      <c r="O188">
        <v>12190.376</v>
      </c>
      <c r="P188">
        <v>1108.2159999999999</v>
      </c>
      <c r="Q188">
        <v>0.38</v>
      </c>
    </row>
    <row r="189" spans="1:17">
      <c r="A189" t="s">
        <v>55</v>
      </c>
      <c r="B189" t="s">
        <v>25</v>
      </c>
      <c r="C189" t="s">
        <v>40</v>
      </c>
      <c r="D189" t="s">
        <v>42</v>
      </c>
      <c r="E189">
        <v>0.06</v>
      </c>
      <c r="F189">
        <v>10601.46</v>
      </c>
      <c r="G189">
        <v>0.169809900486595</v>
      </c>
      <c r="H189">
        <v>16438</v>
      </c>
      <c r="I189">
        <v>54505</v>
      </c>
      <c r="J189">
        <v>1</v>
      </c>
      <c r="K189" t="s">
        <v>53</v>
      </c>
      <c r="L189" s="1">
        <v>44776</v>
      </c>
      <c r="M189" t="s">
        <v>102</v>
      </c>
      <c r="N189" t="s">
        <v>32</v>
      </c>
      <c r="O189">
        <v>11661.606</v>
      </c>
      <c r="P189">
        <v>1060.146</v>
      </c>
      <c r="Q189">
        <v>0.64</v>
      </c>
    </row>
    <row r="190" spans="1:17">
      <c r="A190" t="s">
        <v>55</v>
      </c>
      <c r="B190" t="s">
        <v>34</v>
      </c>
      <c r="C190" t="s">
        <v>30</v>
      </c>
      <c r="D190" t="s">
        <v>20</v>
      </c>
      <c r="E190">
        <v>0.04</v>
      </c>
      <c r="F190">
        <v>5774.68</v>
      </c>
      <c r="G190">
        <v>2.0099999999999998</v>
      </c>
      <c r="H190">
        <v>14877</v>
      </c>
      <c r="I190">
        <v>45586</v>
      </c>
      <c r="J190">
        <v>1</v>
      </c>
      <c r="K190" t="s">
        <v>37</v>
      </c>
      <c r="L190" s="1">
        <v>44926</v>
      </c>
      <c r="M190" t="s">
        <v>94</v>
      </c>
      <c r="N190" t="s">
        <v>63</v>
      </c>
      <c r="O190">
        <v>6352.1480000000001</v>
      </c>
      <c r="P190">
        <v>577.46799999999996</v>
      </c>
      <c r="Q190">
        <v>0.39</v>
      </c>
    </row>
    <row r="191" spans="1:17">
      <c r="A191" t="s">
        <v>33</v>
      </c>
      <c r="B191" t="s">
        <v>18</v>
      </c>
      <c r="C191" t="s">
        <v>19</v>
      </c>
      <c r="D191" t="s">
        <v>36</v>
      </c>
      <c r="E191">
        <v>7.0000000000000007E-2</v>
      </c>
      <c r="F191">
        <v>2333.66</v>
      </c>
      <c r="G191">
        <v>2.13</v>
      </c>
      <c r="H191">
        <v>5707</v>
      </c>
      <c r="I191">
        <v>18424</v>
      </c>
      <c r="J191">
        <v>3</v>
      </c>
      <c r="K191" t="s">
        <v>46</v>
      </c>
      <c r="L191" s="1">
        <v>44902</v>
      </c>
      <c r="M191" t="s">
        <v>93</v>
      </c>
      <c r="N191" t="s">
        <v>63</v>
      </c>
      <c r="O191">
        <v>2567.0259999999998</v>
      </c>
      <c r="P191">
        <v>233.36599999999899</v>
      </c>
      <c r="Q191">
        <v>0.41</v>
      </c>
    </row>
    <row r="192" spans="1:17">
      <c r="A192" t="s">
        <v>55</v>
      </c>
      <c r="B192" t="s">
        <v>29</v>
      </c>
      <c r="C192" t="s">
        <v>40</v>
      </c>
      <c r="D192" t="s">
        <v>50</v>
      </c>
      <c r="E192">
        <v>0.12</v>
      </c>
      <c r="F192">
        <v>8712.83</v>
      </c>
      <c r="G192">
        <v>1.58</v>
      </c>
      <c r="H192">
        <v>22860</v>
      </c>
      <c r="I192">
        <v>69233</v>
      </c>
      <c r="J192">
        <v>9</v>
      </c>
      <c r="K192" t="s">
        <v>51</v>
      </c>
      <c r="L192" s="1">
        <v>44722</v>
      </c>
      <c r="M192" t="s">
        <v>72</v>
      </c>
      <c r="N192" t="s">
        <v>69</v>
      </c>
      <c r="O192">
        <v>9584.1129999999994</v>
      </c>
      <c r="P192">
        <v>871.28300000000104</v>
      </c>
      <c r="Q192">
        <v>0.38</v>
      </c>
    </row>
    <row r="193" spans="1:17">
      <c r="A193" t="s">
        <v>28</v>
      </c>
      <c r="B193" t="s">
        <v>34</v>
      </c>
      <c r="C193" t="s">
        <v>19</v>
      </c>
      <c r="D193" t="s">
        <v>42</v>
      </c>
      <c r="E193">
        <v>0.01</v>
      </c>
      <c r="F193">
        <v>3263.1</v>
      </c>
      <c r="G193">
        <v>0.437930795991746</v>
      </c>
      <c r="H193">
        <v>4733</v>
      </c>
      <c r="I193">
        <v>16394</v>
      </c>
      <c r="J193">
        <v>1</v>
      </c>
      <c r="K193" t="s">
        <v>53</v>
      </c>
      <c r="L193" s="1">
        <v>44769</v>
      </c>
      <c r="M193" t="s">
        <v>84</v>
      </c>
      <c r="N193" t="s">
        <v>23</v>
      </c>
      <c r="O193">
        <v>3589.41</v>
      </c>
      <c r="P193">
        <v>326.31</v>
      </c>
      <c r="Q193">
        <v>0.69</v>
      </c>
    </row>
    <row r="194" spans="1:17">
      <c r="A194" t="s">
        <v>24</v>
      </c>
      <c r="B194" t="s">
        <v>18</v>
      </c>
      <c r="C194" t="s">
        <v>19</v>
      </c>
      <c r="D194" t="s">
        <v>42</v>
      </c>
      <c r="E194">
        <v>0.14000000000000001</v>
      </c>
      <c r="F194">
        <v>1986.65</v>
      </c>
      <c r="G194">
        <v>0.875861591983493</v>
      </c>
      <c r="H194">
        <v>2860</v>
      </c>
      <c r="I194">
        <v>10294</v>
      </c>
      <c r="J194">
        <v>1</v>
      </c>
      <c r="K194" t="s">
        <v>51</v>
      </c>
      <c r="L194" s="1">
        <v>44746</v>
      </c>
      <c r="M194" t="s">
        <v>62</v>
      </c>
      <c r="N194" t="s">
        <v>23</v>
      </c>
      <c r="O194">
        <v>2185.3150000000001</v>
      </c>
      <c r="P194">
        <v>198.664999999999</v>
      </c>
      <c r="Q194">
        <v>0.69</v>
      </c>
    </row>
    <row r="195" spans="1:17">
      <c r="A195" t="s">
        <v>17</v>
      </c>
      <c r="B195" t="s">
        <v>34</v>
      </c>
      <c r="C195" t="s">
        <v>40</v>
      </c>
      <c r="D195" t="s">
        <v>50</v>
      </c>
      <c r="E195">
        <v>0.04</v>
      </c>
      <c r="F195">
        <v>8913.35</v>
      </c>
      <c r="G195">
        <v>1.65</v>
      </c>
      <c r="H195">
        <v>23392</v>
      </c>
      <c r="I195">
        <v>70807</v>
      </c>
      <c r="J195">
        <v>1</v>
      </c>
      <c r="K195" t="s">
        <v>51</v>
      </c>
      <c r="L195" s="1">
        <v>44776</v>
      </c>
      <c r="M195" t="s">
        <v>59</v>
      </c>
      <c r="N195" t="s">
        <v>32</v>
      </c>
      <c r="O195">
        <v>9804.6849999999995</v>
      </c>
      <c r="P195">
        <v>891.33500000000095</v>
      </c>
      <c r="Q195">
        <v>0.38</v>
      </c>
    </row>
    <row r="196" spans="1:17">
      <c r="A196" t="s">
        <v>67</v>
      </c>
      <c r="B196" t="s">
        <v>18</v>
      </c>
      <c r="C196" t="s">
        <v>19</v>
      </c>
      <c r="D196" t="s">
        <v>20</v>
      </c>
      <c r="E196">
        <v>0.11</v>
      </c>
      <c r="F196">
        <v>2934.59</v>
      </c>
      <c r="G196">
        <v>7.7</v>
      </c>
      <c r="H196">
        <v>7204</v>
      </c>
      <c r="I196">
        <v>22858</v>
      </c>
      <c r="J196">
        <v>4</v>
      </c>
      <c r="K196" t="s">
        <v>46</v>
      </c>
      <c r="L196" s="1">
        <v>44734</v>
      </c>
      <c r="M196" t="s">
        <v>76</v>
      </c>
      <c r="N196" t="s">
        <v>69</v>
      </c>
      <c r="O196">
        <v>3228.049</v>
      </c>
      <c r="P196">
        <v>293.459</v>
      </c>
      <c r="Q196">
        <v>0.41</v>
      </c>
    </row>
    <row r="197" spans="1:17">
      <c r="A197" t="s">
        <v>17</v>
      </c>
      <c r="B197" t="s">
        <v>25</v>
      </c>
      <c r="C197" t="s">
        <v>30</v>
      </c>
      <c r="D197" t="s">
        <v>50</v>
      </c>
      <c r="E197">
        <v>0.04</v>
      </c>
      <c r="F197">
        <v>5740.49</v>
      </c>
      <c r="G197">
        <v>3.27</v>
      </c>
      <c r="H197">
        <v>14786</v>
      </c>
      <c r="I197">
        <v>45316</v>
      </c>
      <c r="J197">
        <v>9</v>
      </c>
      <c r="K197" t="s">
        <v>21</v>
      </c>
      <c r="L197" s="1">
        <v>44800</v>
      </c>
      <c r="M197" t="s">
        <v>48</v>
      </c>
      <c r="N197" t="s">
        <v>32</v>
      </c>
      <c r="O197">
        <v>6314.5389999999998</v>
      </c>
      <c r="P197">
        <v>574.04899999999998</v>
      </c>
      <c r="Q197">
        <v>0.39</v>
      </c>
    </row>
    <row r="198" spans="1:17">
      <c r="A198" t="s">
        <v>24</v>
      </c>
      <c r="B198" t="s">
        <v>18</v>
      </c>
      <c r="C198" t="s">
        <v>19</v>
      </c>
      <c r="D198" t="s">
        <v>36</v>
      </c>
      <c r="E198">
        <v>0.06</v>
      </c>
      <c r="F198">
        <v>4025.75</v>
      </c>
      <c r="G198">
        <v>5.13</v>
      </c>
      <c r="H198">
        <v>10106</v>
      </c>
      <c r="I198">
        <v>31455</v>
      </c>
      <c r="J198">
        <v>4</v>
      </c>
      <c r="K198" t="s">
        <v>21</v>
      </c>
      <c r="L198" s="1">
        <v>44828</v>
      </c>
      <c r="M198" t="s">
        <v>103</v>
      </c>
      <c r="N198" t="s">
        <v>65</v>
      </c>
      <c r="O198">
        <v>4428.3249999999998</v>
      </c>
      <c r="P198">
        <v>402.57499999999999</v>
      </c>
      <c r="Q198">
        <v>0.4</v>
      </c>
    </row>
    <row r="199" spans="1:17">
      <c r="A199" t="s">
        <v>39</v>
      </c>
      <c r="B199" t="s">
        <v>18</v>
      </c>
      <c r="C199" t="s">
        <v>35</v>
      </c>
      <c r="D199" t="s">
        <v>20</v>
      </c>
      <c r="E199">
        <v>0.03</v>
      </c>
      <c r="F199">
        <v>13752.43</v>
      </c>
      <c r="G199">
        <v>5.01</v>
      </c>
      <c r="H199">
        <v>36143</v>
      </c>
      <c r="I199">
        <v>108578</v>
      </c>
      <c r="J199">
        <v>9</v>
      </c>
      <c r="K199" t="s">
        <v>53</v>
      </c>
      <c r="L199" s="1">
        <v>44819</v>
      </c>
      <c r="M199" t="s">
        <v>78</v>
      </c>
      <c r="N199" t="s">
        <v>65</v>
      </c>
      <c r="O199">
        <v>15127.673000000001</v>
      </c>
      <c r="P199">
        <v>1375.2429999999999</v>
      </c>
      <c r="Q199">
        <v>0.38</v>
      </c>
    </row>
    <row r="200" spans="1:17">
      <c r="A200" t="s">
        <v>24</v>
      </c>
      <c r="B200" t="s">
        <v>34</v>
      </c>
      <c r="C200" t="s">
        <v>19</v>
      </c>
      <c r="D200" t="s">
        <v>20</v>
      </c>
      <c r="E200">
        <v>0.1</v>
      </c>
      <c r="F200">
        <v>3564.63</v>
      </c>
      <c r="G200">
        <v>3.61</v>
      </c>
      <c r="H200">
        <v>8861</v>
      </c>
      <c r="I200">
        <v>27766</v>
      </c>
      <c r="J200">
        <v>2</v>
      </c>
      <c r="K200" t="s">
        <v>46</v>
      </c>
      <c r="L200" s="1">
        <v>44792</v>
      </c>
      <c r="M200" t="s">
        <v>47</v>
      </c>
      <c r="N200" t="s">
        <v>32</v>
      </c>
      <c r="O200">
        <v>3921.0929999999998</v>
      </c>
      <c r="P200">
        <v>356.46300000000002</v>
      </c>
      <c r="Q200">
        <v>0.4</v>
      </c>
    </row>
    <row r="201" spans="1:17">
      <c r="A201" t="s">
        <v>24</v>
      </c>
      <c r="B201" t="s">
        <v>25</v>
      </c>
      <c r="C201" t="s">
        <v>19</v>
      </c>
      <c r="D201" t="s">
        <v>42</v>
      </c>
      <c r="E201">
        <v>0.1</v>
      </c>
      <c r="F201">
        <v>1614.59</v>
      </c>
      <c r="G201">
        <v>0.96702269645524397</v>
      </c>
      <c r="H201">
        <v>2373</v>
      </c>
      <c r="I201">
        <v>8709</v>
      </c>
      <c r="J201">
        <v>1</v>
      </c>
      <c r="K201" t="s">
        <v>37</v>
      </c>
      <c r="L201" s="1">
        <v>44900</v>
      </c>
      <c r="M201" t="s">
        <v>90</v>
      </c>
      <c r="N201" t="s">
        <v>63</v>
      </c>
      <c r="O201">
        <v>1776.049</v>
      </c>
      <c r="P201">
        <v>161.459</v>
      </c>
      <c r="Q201">
        <v>0.68</v>
      </c>
    </row>
    <row r="202" spans="1:17">
      <c r="A202" t="s">
        <v>17</v>
      </c>
      <c r="B202" t="s">
        <v>25</v>
      </c>
      <c r="C202" t="s">
        <v>35</v>
      </c>
      <c r="D202" t="s">
        <v>36</v>
      </c>
      <c r="E202">
        <v>0.08</v>
      </c>
      <c r="F202">
        <v>13205.14</v>
      </c>
      <c r="G202">
        <v>2.4700000000000002</v>
      </c>
      <c r="H202">
        <v>34885</v>
      </c>
      <c r="I202">
        <v>104849</v>
      </c>
      <c r="J202">
        <v>3</v>
      </c>
      <c r="K202" t="s">
        <v>51</v>
      </c>
      <c r="L202" s="1">
        <v>44886</v>
      </c>
      <c r="M202" t="s">
        <v>92</v>
      </c>
      <c r="N202" t="s">
        <v>41</v>
      </c>
      <c r="O202">
        <v>14525.654</v>
      </c>
      <c r="P202">
        <v>1320.5139999999999</v>
      </c>
      <c r="Q202">
        <v>0.38</v>
      </c>
    </row>
    <row r="203" spans="1:17">
      <c r="A203" t="s">
        <v>39</v>
      </c>
      <c r="B203" t="s">
        <v>25</v>
      </c>
      <c r="C203" t="s">
        <v>19</v>
      </c>
      <c r="D203" t="s">
        <v>42</v>
      </c>
      <c r="E203">
        <v>0.12</v>
      </c>
      <c r="F203">
        <v>500</v>
      </c>
      <c r="G203">
        <v>0.50049233827628103</v>
      </c>
      <c r="H203">
        <v>976</v>
      </c>
      <c r="I203">
        <v>4161</v>
      </c>
      <c r="J203">
        <v>1</v>
      </c>
      <c r="K203" t="s">
        <v>51</v>
      </c>
      <c r="L203" s="1">
        <v>44675</v>
      </c>
      <c r="M203" t="s">
        <v>85</v>
      </c>
      <c r="N203" t="s">
        <v>73</v>
      </c>
      <c r="O203">
        <v>550</v>
      </c>
      <c r="P203">
        <v>50</v>
      </c>
      <c r="Q203">
        <v>0.51</v>
      </c>
    </row>
    <row r="204" spans="1:17">
      <c r="A204" t="s">
        <v>49</v>
      </c>
      <c r="B204" t="s">
        <v>29</v>
      </c>
      <c r="C204" t="s">
        <v>19</v>
      </c>
      <c r="D204" t="s">
        <v>36</v>
      </c>
      <c r="E204">
        <v>0.09</v>
      </c>
      <c r="F204">
        <v>861.71</v>
      </c>
      <c r="G204">
        <v>1.1000000000000001</v>
      </c>
      <c r="H204">
        <v>2615</v>
      </c>
      <c r="I204">
        <v>9264</v>
      </c>
      <c r="J204">
        <v>3</v>
      </c>
      <c r="K204" t="s">
        <v>46</v>
      </c>
      <c r="L204" s="1">
        <v>44824</v>
      </c>
      <c r="M204" t="s">
        <v>96</v>
      </c>
      <c r="N204" t="s">
        <v>65</v>
      </c>
      <c r="O204">
        <v>947.88099999999997</v>
      </c>
      <c r="P204">
        <v>86.171000000000006</v>
      </c>
      <c r="Q204">
        <v>0.33</v>
      </c>
    </row>
    <row r="205" spans="1:17">
      <c r="A205" t="s">
        <v>17</v>
      </c>
      <c r="B205" t="s">
        <v>18</v>
      </c>
      <c r="C205" t="s">
        <v>30</v>
      </c>
      <c r="D205" t="s">
        <v>20</v>
      </c>
      <c r="E205">
        <v>0.04</v>
      </c>
      <c r="F205">
        <v>5699.24</v>
      </c>
      <c r="G205">
        <v>3.14</v>
      </c>
      <c r="H205">
        <v>14675</v>
      </c>
      <c r="I205">
        <v>44987</v>
      </c>
      <c r="J205">
        <v>9</v>
      </c>
      <c r="K205" t="s">
        <v>37</v>
      </c>
      <c r="L205" s="1">
        <v>44743</v>
      </c>
      <c r="M205" t="s">
        <v>90</v>
      </c>
      <c r="N205" t="s">
        <v>23</v>
      </c>
      <c r="O205">
        <v>6269.1639999999998</v>
      </c>
      <c r="P205">
        <v>569.92399999999998</v>
      </c>
      <c r="Q205">
        <v>0.39</v>
      </c>
    </row>
    <row r="206" spans="1:17">
      <c r="A206" t="s">
        <v>45</v>
      </c>
      <c r="B206" t="s">
        <v>29</v>
      </c>
      <c r="C206" t="s">
        <v>30</v>
      </c>
      <c r="D206" t="s">
        <v>50</v>
      </c>
      <c r="E206">
        <v>0.12</v>
      </c>
      <c r="F206">
        <v>6793.56</v>
      </c>
      <c r="G206">
        <v>1.51</v>
      </c>
      <c r="H206">
        <v>17637</v>
      </c>
      <c r="I206">
        <v>53762</v>
      </c>
      <c r="J206">
        <v>1</v>
      </c>
      <c r="K206" t="s">
        <v>51</v>
      </c>
      <c r="L206" s="1">
        <v>44876</v>
      </c>
      <c r="M206" t="s">
        <v>72</v>
      </c>
      <c r="N206" t="s">
        <v>41</v>
      </c>
      <c r="O206">
        <v>7472.9160000000002</v>
      </c>
      <c r="P206">
        <v>679.35599999999999</v>
      </c>
      <c r="Q206">
        <v>0.39</v>
      </c>
    </row>
    <row r="207" spans="1:17">
      <c r="A207" t="s">
        <v>28</v>
      </c>
      <c r="B207" t="s">
        <v>29</v>
      </c>
      <c r="C207" t="s">
        <v>40</v>
      </c>
      <c r="D207" t="s">
        <v>50</v>
      </c>
      <c r="E207">
        <v>7.0000000000000007E-2</v>
      </c>
      <c r="F207">
        <v>9189.93</v>
      </c>
      <c r="G207">
        <v>0.5</v>
      </c>
      <c r="H207">
        <v>24143</v>
      </c>
      <c r="I207">
        <v>73033</v>
      </c>
      <c r="J207">
        <v>2</v>
      </c>
      <c r="K207" t="s">
        <v>51</v>
      </c>
      <c r="L207" s="1">
        <v>44725</v>
      </c>
      <c r="M207" t="s">
        <v>72</v>
      </c>
      <c r="N207" t="s">
        <v>69</v>
      </c>
      <c r="O207">
        <v>10108.923000000001</v>
      </c>
      <c r="P207">
        <v>918.99300000000005</v>
      </c>
      <c r="Q207">
        <v>0.38</v>
      </c>
    </row>
    <row r="208" spans="1:17">
      <c r="A208" t="s">
        <v>45</v>
      </c>
      <c r="B208" t="s">
        <v>34</v>
      </c>
      <c r="C208" t="s">
        <v>30</v>
      </c>
      <c r="D208" t="s">
        <v>50</v>
      </c>
      <c r="E208">
        <v>0.09</v>
      </c>
      <c r="F208">
        <v>6107.23</v>
      </c>
      <c r="G208">
        <v>4.74</v>
      </c>
      <c r="H208">
        <v>15789</v>
      </c>
      <c r="I208">
        <v>48287</v>
      </c>
      <c r="J208">
        <v>4</v>
      </c>
      <c r="K208" t="s">
        <v>51</v>
      </c>
      <c r="L208" s="1">
        <v>44904</v>
      </c>
      <c r="M208" t="s">
        <v>52</v>
      </c>
      <c r="N208" t="s">
        <v>63</v>
      </c>
      <c r="O208">
        <v>6717.9530000000004</v>
      </c>
      <c r="P208">
        <v>610.72299999999996</v>
      </c>
      <c r="Q208">
        <v>0.39</v>
      </c>
    </row>
    <row r="209" spans="1:17">
      <c r="A209" t="s">
        <v>55</v>
      </c>
      <c r="B209" t="s">
        <v>34</v>
      </c>
      <c r="C209" t="s">
        <v>19</v>
      </c>
      <c r="D209" t="s">
        <v>36</v>
      </c>
      <c r="E209">
        <v>0.04</v>
      </c>
      <c r="F209">
        <v>1933.51</v>
      </c>
      <c r="G209">
        <v>1.56</v>
      </c>
      <c r="H209">
        <v>4744</v>
      </c>
      <c r="I209">
        <v>15571</v>
      </c>
      <c r="J209">
        <v>5</v>
      </c>
      <c r="K209" t="s">
        <v>51</v>
      </c>
      <c r="L209" s="1">
        <v>44605</v>
      </c>
      <c r="M209" t="s">
        <v>75</v>
      </c>
      <c r="N209" t="s">
        <v>60</v>
      </c>
      <c r="O209">
        <v>2126.8609999999999</v>
      </c>
      <c r="P209">
        <v>193.351</v>
      </c>
      <c r="Q209">
        <v>0.41</v>
      </c>
    </row>
    <row r="210" spans="1:17">
      <c r="A210" t="s">
        <v>17</v>
      </c>
      <c r="B210" t="s">
        <v>18</v>
      </c>
      <c r="C210" t="s">
        <v>40</v>
      </c>
      <c r="D210" t="s">
        <v>20</v>
      </c>
      <c r="E210">
        <v>7.0000000000000007E-2</v>
      </c>
      <c r="F210">
        <v>9773.8700000000008</v>
      </c>
      <c r="G210">
        <v>6.73</v>
      </c>
      <c r="H210">
        <v>25745</v>
      </c>
      <c r="I210">
        <v>77777</v>
      </c>
      <c r="J210">
        <v>2</v>
      </c>
      <c r="K210" t="s">
        <v>51</v>
      </c>
      <c r="L210" s="1">
        <v>44893</v>
      </c>
      <c r="M210" t="s">
        <v>101</v>
      </c>
      <c r="N210" t="s">
        <v>41</v>
      </c>
      <c r="O210">
        <v>10751.257</v>
      </c>
      <c r="P210">
        <v>977.38699999999994</v>
      </c>
      <c r="Q210">
        <v>0.38</v>
      </c>
    </row>
    <row r="211" spans="1:17">
      <c r="A211" t="s">
        <v>33</v>
      </c>
      <c r="B211" t="s">
        <v>29</v>
      </c>
      <c r="C211" t="s">
        <v>19</v>
      </c>
      <c r="D211" t="s">
        <v>36</v>
      </c>
      <c r="E211">
        <v>0.09</v>
      </c>
      <c r="F211">
        <v>3265.33</v>
      </c>
      <c r="G211">
        <v>7.57</v>
      </c>
      <c r="H211">
        <v>8065</v>
      </c>
      <c r="I211">
        <v>25407</v>
      </c>
      <c r="J211">
        <v>4</v>
      </c>
      <c r="K211" t="s">
        <v>51</v>
      </c>
      <c r="L211" s="1">
        <v>44822</v>
      </c>
      <c r="M211" t="s">
        <v>85</v>
      </c>
      <c r="N211" t="s">
        <v>65</v>
      </c>
      <c r="O211">
        <v>3591.8629999999998</v>
      </c>
      <c r="P211">
        <v>326.53300000000002</v>
      </c>
      <c r="Q211">
        <v>0.4</v>
      </c>
    </row>
    <row r="212" spans="1:17">
      <c r="A212" t="s">
        <v>39</v>
      </c>
      <c r="B212" t="s">
        <v>34</v>
      </c>
      <c r="C212" t="s">
        <v>40</v>
      </c>
      <c r="D212" t="s">
        <v>20</v>
      </c>
      <c r="E212">
        <v>0.08</v>
      </c>
      <c r="F212">
        <v>8262.02</v>
      </c>
      <c r="G212">
        <v>1.63</v>
      </c>
      <c r="H212">
        <v>21632</v>
      </c>
      <c r="I212">
        <v>65595</v>
      </c>
      <c r="J212">
        <v>5</v>
      </c>
      <c r="K212" t="s">
        <v>21</v>
      </c>
      <c r="L212" s="1">
        <v>44573</v>
      </c>
      <c r="M212" t="s">
        <v>77</v>
      </c>
      <c r="N212" t="s">
        <v>27</v>
      </c>
      <c r="O212">
        <v>9088.2219999999998</v>
      </c>
      <c r="P212">
        <v>826.20200000000102</v>
      </c>
      <c r="Q212">
        <v>0.38</v>
      </c>
    </row>
    <row r="213" spans="1:17">
      <c r="A213" t="s">
        <v>28</v>
      </c>
      <c r="B213" t="s">
        <v>25</v>
      </c>
      <c r="C213" t="s">
        <v>40</v>
      </c>
      <c r="D213" t="s">
        <v>42</v>
      </c>
      <c r="E213">
        <v>0.06</v>
      </c>
      <c r="F213">
        <v>10941.14</v>
      </c>
      <c r="G213">
        <v>0.71856399995380404</v>
      </c>
      <c r="H213">
        <v>16981</v>
      </c>
      <c r="I213">
        <v>56274</v>
      </c>
      <c r="J213">
        <v>1</v>
      </c>
      <c r="K213" t="s">
        <v>46</v>
      </c>
      <c r="L213" s="1">
        <v>44726</v>
      </c>
      <c r="M213" t="s">
        <v>86</v>
      </c>
      <c r="N213" t="s">
        <v>69</v>
      </c>
      <c r="O213">
        <v>12035.254000000001</v>
      </c>
      <c r="P213">
        <v>1094.114</v>
      </c>
      <c r="Q213">
        <v>0.64</v>
      </c>
    </row>
    <row r="214" spans="1:17">
      <c r="A214" t="s">
        <v>28</v>
      </c>
      <c r="B214" t="s">
        <v>29</v>
      </c>
      <c r="C214" t="s">
        <v>30</v>
      </c>
      <c r="D214" t="s">
        <v>42</v>
      </c>
      <c r="E214">
        <v>0.14000000000000001</v>
      </c>
      <c r="F214">
        <v>6628.08</v>
      </c>
      <c r="G214">
        <v>0.185897154216904</v>
      </c>
      <c r="H214">
        <v>10092</v>
      </c>
      <c r="I214">
        <v>33843</v>
      </c>
      <c r="J214">
        <v>1</v>
      </c>
      <c r="K214" t="s">
        <v>46</v>
      </c>
      <c r="L214" s="1">
        <v>44705</v>
      </c>
      <c r="M214" t="s">
        <v>88</v>
      </c>
      <c r="N214" t="s">
        <v>44</v>
      </c>
      <c r="O214">
        <v>7290.8879999999999</v>
      </c>
      <c r="P214">
        <v>662.80799999999999</v>
      </c>
      <c r="Q214">
        <v>0.66</v>
      </c>
    </row>
    <row r="215" spans="1:17">
      <c r="A215" t="s">
        <v>24</v>
      </c>
      <c r="B215" t="s">
        <v>25</v>
      </c>
      <c r="C215" t="s">
        <v>40</v>
      </c>
      <c r="D215" t="s">
        <v>50</v>
      </c>
      <c r="E215">
        <v>0.08</v>
      </c>
      <c r="F215">
        <v>8874.09</v>
      </c>
      <c r="G215">
        <v>6.9</v>
      </c>
      <c r="H215">
        <v>23284</v>
      </c>
      <c r="I215">
        <v>70488</v>
      </c>
      <c r="J215">
        <v>10</v>
      </c>
      <c r="K215" t="s">
        <v>37</v>
      </c>
      <c r="L215" s="1">
        <v>44720</v>
      </c>
      <c r="M215" t="s">
        <v>56</v>
      </c>
      <c r="N215" t="s">
        <v>69</v>
      </c>
      <c r="O215">
        <v>9761.4989999999998</v>
      </c>
      <c r="P215">
        <v>887.40900000000101</v>
      </c>
      <c r="Q215">
        <v>0.38</v>
      </c>
    </row>
    <row r="216" spans="1:17">
      <c r="A216" t="s">
        <v>49</v>
      </c>
      <c r="B216" t="s">
        <v>18</v>
      </c>
      <c r="C216" t="s">
        <v>30</v>
      </c>
      <c r="D216" t="s">
        <v>50</v>
      </c>
      <c r="E216">
        <v>0.05</v>
      </c>
      <c r="F216">
        <v>5215.6400000000003</v>
      </c>
      <c r="G216">
        <v>0.28999999999999998</v>
      </c>
      <c r="H216">
        <v>13367</v>
      </c>
      <c r="I216">
        <v>41113</v>
      </c>
      <c r="J216">
        <v>2</v>
      </c>
      <c r="K216" t="s">
        <v>21</v>
      </c>
      <c r="L216" s="1">
        <v>44801</v>
      </c>
      <c r="M216" t="s">
        <v>31</v>
      </c>
      <c r="N216" t="s">
        <v>32</v>
      </c>
      <c r="O216">
        <v>5737.2039999999997</v>
      </c>
      <c r="P216">
        <v>521.56399999999996</v>
      </c>
      <c r="Q216">
        <v>0.39</v>
      </c>
    </row>
    <row r="217" spans="1:17">
      <c r="A217" t="s">
        <v>33</v>
      </c>
      <c r="B217" t="s">
        <v>25</v>
      </c>
      <c r="C217" t="s">
        <v>40</v>
      </c>
      <c r="D217" t="s">
        <v>50</v>
      </c>
      <c r="E217">
        <v>0.15</v>
      </c>
      <c r="F217">
        <v>9873.59</v>
      </c>
      <c r="G217">
        <v>6.89</v>
      </c>
      <c r="H217">
        <v>26018</v>
      </c>
      <c r="I217">
        <v>78586</v>
      </c>
      <c r="J217">
        <v>7</v>
      </c>
      <c r="K217" t="s">
        <v>53</v>
      </c>
      <c r="L217" s="1">
        <v>44752</v>
      </c>
      <c r="M217" t="s">
        <v>104</v>
      </c>
      <c r="N217" t="s">
        <v>23</v>
      </c>
      <c r="O217">
        <v>10860.949000000001</v>
      </c>
      <c r="P217">
        <v>987.35900000000004</v>
      </c>
      <c r="Q217">
        <v>0.38</v>
      </c>
    </row>
    <row r="218" spans="1:17">
      <c r="A218" t="s">
        <v>55</v>
      </c>
      <c r="B218" t="s">
        <v>18</v>
      </c>
      <c r="C218" t="s">
        <v>19</v>
      </c>
      <c r="D218" t="s">
        <v>50</v>
      </c>
      <c r="E218">
        <v>0.06</v>
      </c>
      <c r="F218">
        <v>940.86</v>
      </c>
      <c r="G218">
        <v>1.1100000000000001</v>
      </c>
      <c r="H218">
        <v>2758</v>
      </c>
      <c r="I218">
        <v>9690</v>
      </c>
      <c r="J218">
        <v>1</v>
      </c>
      <c r="K218" t="s">
        <v>53</v>
      </c>
      <c r="L218" s="1">
        <v>44826</v>
      </c>
      <c r="M218" t="s">
        <v>82</v>
      </c>
      <c r="N218" t="s">
        <v>65</v>
      </c>
      <c r="O218">
        <v>1034.9459999999999</v>
      </c>
      <c r="P218">
        <v>94.086000000000098</v>
      </c>
      <c r="Q218">
        <v>0.34</v>
      </c>
    </row>
    <row r="219" spans="1:17">
      <c r="A219" t="s">
        <v>28</v>
      </c>
      <c r="B219" t="s">
        <v>25</v>
      </c>
      <c r="C219" t="s">
        <v>19</v>
      </c>
      <c r="D219" t="s">
        <v>36</v>
      </c>
      <c r="E219">
        <v>0.06</v>
      </c>
      <c r="F219">
        <v>3932.17</v>
      </c>
      <c r="G219">
        <v>6.06</v>
      </c>
      <c r="H219">
        <v>9855</v>
      </c>
      <c r="I219">
        <v>30711</v>
      </c>
      <c r="J219">
        <v>10</v>
      </c>
      <c r="K219" t="s">
        <v>37</v>
      </c>
      <c r="L219" s="1">
        <v>44756</v>
      </c>
      <c r="M219" t="s">
        <v>89</v>
      </c>
      <c r="N219" t="s">
        <v>23</v>
      </c>
      <c r="O219">
        <v>4325.3869999999997</v>
      </c>
      <c r="P219">
        <v>393.21699999999998</v>
      </c>
      <c r="Q219">
        <v>0.4</v>
      </c>
    </row>
    <row r="220" spans="1:17">
      <c r="A220" t="s">
        <v>55</v>
      </c>
      <c r="B220" t="s">
        <v>29</v>
      </c>
      <c r="C220" t="s">
        <v>40</v>
      </c>
      <c r="D220" t="s">
        <v>20</v>
      </c>
      <c r="E220">
        <v>0.12</v>
      </c>
      <c r="F220">
        <v>9883.9699999999993</v>
      </c>
      <c r="G220">
        <v>4</v>
      </c>
      <c r="H220">
        <v>26042</v>
      </c>
      <c r="I220">
        <v>78656</v>
      </c>
      <c r="J220">
        <v>3</v>
      </c>
      <c r="K220" t="s">
        <v>37</v>
      </c>
      <c r="L220" s="1">
        <v>44618</v>
      </c>
      <c r="M220" t="s">
        <v>74</v>
      </c>
      <c r="N220" t="s">
        <v>60</v>
      </c>
      <c r="O220">
        <v>10872.367</v>
      </c>
      <c r="P220">
        <v>988.39700000000005</v>
      </c>
      <c r="Q220">
        <v>0.38</v>
      </c>
    </row>
    <row r="221" spans="1:17">
      <c r="A221" t="s">
        <v>17</v>
      </c>
      <c r="B221" t="s">
        <v>34</v>
      </c>
      <c r="C221" t="s">
        <v>19</v>
      </c>
      <c r="D221" t="s">
        <v>36</v>
      </c>
      <c r="E221">
        <v>7.0000000000000007E-2</v>
      </c>
      <c r="F221">
        <v>2991.76</v>
      </c>
      <c r="G221">
        <v>4.49</v>
      </c>
      <c r="H221">
        <v>7354</v>
      </c>
      <c r="I221">
        <v>23303</v>
      </c>
      <c r="J221">
        <v>6</v>
      </c>
      <c r="K221" t="s">
        <v>37</v>
      </c>
      <c r="L221" s="1">
        <v>44636</v>
      </c>
      <c r="M221" t="s">
        <v>89</v>
      </c>
      <c r="N221" t="s">
        <v>81</v>
      </c>
      <c r="O221">
        <v>3290.9360000000001</v>
      </c>
      <c r="P221">
        <v>299.17599999999999</v>
      </c>
      <c r="Q221">
        <v>0.41</v>
      </c>
    </row>
    <row r="222" spans="1:17">
      <c r="A222" t="s">
        <v>39</v>
      </c>
      <c r="B222" t="s">
        <v>25</v>
      </c>
      <c r="C222" t="s">
        <v>35</v>
      </c>
      <c r="D222" t="s">
        <v>42</v>
      </c>
      <c r="E222">
        <v>0.03</v>
      </c>
      <c r="F222">
        <v>14003.6</v>
      </c>
      <c r="G222">
        <v>1.37814140289647</v>
      </c>
      <c r="H222">
        <v>21540</v>
      </c>
      <c r="I222">
        <v>71120</v>
      </c>
      <c r="J222">
        <v>1</v>
      </c>
      <c r="K222" t="s">
        <v>51</v>
      </c>
      <c r="L222" s="1">
        <v>44610</v>
      </c>
      <c r="M222" t="s">
        <v>62</v>
      </c>
      <c r="N222" t="s">
        <v>60</v>
      </c>
      <c r="O222">
        <v>15403.96</v>
      </c>
      <c r="P222">
        <v>1400.36</v>
      </c>
      <c r="Q222">
        <v>0.65</v>
      </c>
    </row>
    <row r="223" spans="1:17">
      <c r="A223" t="s">
        <v>49</v>
      </c>
      <c r="B223" t="s">
        <v>29</v>
      </c>
      <c r="C223" t="s">
        <v>19</v>
      </c>
      <c r="D223" t="s">
        <v>50</v>
      </c>
      <c r="E223">
        <v>0.05</v>
      </c>
      <c r="F223">
        <v>500</v>
      </c>
      <c r="G223">
        <v>4.47</v>
      </c>
      <c r="H223">
        <v>705</v>
      </c>
      <c r="I223">
        <v>3607</v>
      </c>
      <c r="J223">
        <v>3</v>
      </c>
      <c r="K223" t="s">
        <v>51</v>
      </c>
      <c r="L223" s="1">
        <v>44760</v>
      </c>
      <c r="M223" t="s">
        <v>85</v>
      </c>
      <c r="N223" t="s">
        <v>23</v>
      </c>
      <c r="O223">
        <v>550</v>
      </c>
      <c r="P223">
        <v>50</v>
      </c>
      <c r="Q223">
        <v>0.71</v>
      </c>
    </row>
    <row r="224" spans="1:17">
      <c r="A224" t="s">
        <v>49</v>
      </c>
      <c r="B224" t="s">
        <v>18</v>
      </c>
      <c r="C224" t="s">
        <v>35</v>
      </c>
      <c r="D224" t="s">
        <v>42</v>
      </c>
      <c r="E224">
        <v>0.1</v>
      </c>
      <c r="F224">
        <v>12780.55</v>
      </c>
      <c r="G224">
        <v>0.10903583083876101</v>
      </c>
      <c r="H224">
        <v>19864</v>
      </c>
      <c r="I224">
        <v>65662</v>
      </c>
      <c r="J224">
        <v>1</v>
      </c>
      <c r="K224" t="s">
        <v>21</v>
      </c>
      <c r="L224" s="1">
        <v>44577</v>
      </c>
      <c r="M224" t="s">
        <v>103</v>
      </c>
      <c r="N224" t="s">
        <v>27</v>
      </c>
      <c r="O224">
        <v>14058.605</v>
      </c>
      <c r="P224">
        <v>1278.0550000000001</v>
      </c>
      <c r="Q224">
        <v>0.64</v>
      </c>
    </row>
    <row r="225" spans="1:17">
      <c r="A225" t="s">
        <v>49</v>
      </c>
      <c r="B225" t="s">
        <v>25</v>
      </c>
      <c r="C225" t="s">
        <v>40</v>
      </c>
      <c r="D225" t="s">
        <v>42</v>
      </c>
      <c r="E225">
        <v>0.02</v>
      </c>
      <c r="F225">
        <v>9305.81</v>
      </c>
      <c r="G225">
        <v>0.99204731336905805</v>
      </c>
      <c r="H225">
        <v>14360</v>
      </c>
      <c r="I225">
        <v>47741</v>
      </c>
      <c r="J225">
        <v>1</v>
      </c>
      <c r="K225" t="s">
        <v>21</v>
      </c>
      <c r="L225" s="1">
        <v>44699</v>
      </c>
      <c r="M225" t="s">
        <v>48</v>
      </c>
      <c r="N225" t="s">
        <v>44</v>
      </c>
      <c r="O225">
        <v>10236.391</v>
      </c>
      <c r="P225">
        <v>930.58100000000002</v>
      </c>
      <c r="Q225">
        <v>0.65</v>
      </c>
    </row>
    <row r="226" spans="1:17">
      <c r="A226" t="s">
        <v>49</v>
      </c>
      <c r="B226" t="s">
        <v>29</v>
      </c>
      <c r="C226" t="s">
        <v>30</v>
      </c>
      <c r="D226" t="s">
        <v>36</v>
      </c>
      <c r="E226">
        <v>0.09</v>
      </c>
      <c r="F226">
        <v>7530.23</v>
      </c>
      <c r="G226">
        <v>4.87</v>
      </c>
      <c r="H226">
        <v>19627</v>
      </c>
      <c r="I226">
        <v>59655</v>
      </c>
      <c r="J226">
        <v>8</v>
      </c>
      <c r="K226" t="s">
        <v>51</v>
      </c>
      <c r="L226" s="1">
        <v>44653</v>
      </c>
      <c r="M226" t="s">
        <v>75</v>
      </c>
      <c r="N226" t="s">
        <v>73</v>
      </c>
      <c r="O226">
        <v>8283.2530000000006</v>
      </c>
      <c r="P226">
        <v>753.02300000000105</v>
      </c>
      <c r="Q226">
        <v>0.38</v>
      </c>
    </row>
    <row r="227" spans="1:17">
      <c r="A227" t="s">
        <v>24</v>
      </c>
      <c r="B227" t="s">
        <v>18</v>
      </c>
      <c r="C227" t="s">
        <v>40</v>
      </c>
      <c r="D227" t="s">
        <v>36</v>
      </c>
      <c r="E227">
        <v>7.0000000000000007E-2</v>
      </c>
      <c r="F227">
        <v>9534.84</v>
      </c>
      <c r="G227">
        <v>0.05</v>
      </c>
      <c r="H227">
        <v>25076</v>
      </c>
      <c r="I227">
        <v>75797</v>
      </c>
      <c r="J227">
        <v>8</v>
      </c>
      <c r="K227" t="s">
        <v>53</v>
      </c>
      <c r="L227" s="1">
        <v>44602</v>
      </c>
      <c r="M227" t="s">
        <v>66</v>
      </c>
      <c r="N227" t="s">
        <v>60</v>
      </c>
      <c r="O227">
        <v>10488.324000000001</v>
      </c>
      <c r="P227">
        <v>953.48400000000004</v>
      </c>
      <c r="Q227">
        <v>0.38</v>
      </c>
    </row>
    <row r="228" spans="1:17">
      <c r="A228" t="s">
        <v>49</v>
      </c>
      <c r="B228" t="s">
        <v>34</v>
      </c>
      <c r="C228" t="s">
        <v>19</v>
      </c>
      <c r="D228" t="s">
        <v>42</v>
      </c>
      <c r="E228">
        <v>0.14000000000000001</v>
      </c>
      <c r="F228">
        <v>500</v>
      </c>
      <c r="G228">
        <v>0.169809900486595</v>
      </c>
      <c r="H228">
        <v>794</v>
      </c>
      <c r="I228">
        <v>3567</v>
      </c>
      <c r="J228">
        <v>1</v>
      </c>
      <c r="K228" t="s">
        <v>53</v>
      </c>
      <c r="L228" s="1">
        <v>44903</v>
      </c>
      <c r="M228" t="s">
        <v>78</v>
      </c>
      <c r="N228" t="s">
        <v>63</v>
      </c>
      <c r="O228">
        <v>550</v>
      </c>
      <c r="P228">
        <v>50</v>
      </c>
      <c r="Q228">
        <v>0.63</v>
      </c>
    </row>
    <row r="229" spans="1:17">
      <c r="A229" t="s">
        <v>28</v>
      </c>
      <c r="B229" t="s">
        <v>18</v>
      </c>
      <c r="C229" t="s">
        <v>35</v>
      </c>
      <c r="D229" t="s">
        <v>20</v>
      </c>
      <c r="E229">
        <v>0.06</v>
      </c>
      <c r="F229">
        <v>12597.27</v>
      </c>
      <c r="G229">
        <v>2.38</v>
      </c>
      <c r="H229">
        <v>33339</v>
      </c>
      <c r="I229">
        <v>100271</v>
      </c>
      <c r="J229">
        <v>4</v>
      </c>
      <c r="K229" t="s">
        <v>21</v>
      </c>
      <c r="L229" s="1">
        <v>44624</v>
      </c>
      <c r="M229" t="s">
        <v>61</v>
      </c>
      <c r="N229" t="s">
        <v>81</v>
      </c>
      <c r="O229">
        <v>13856.996999999999</v>
      </c>
      <c r="P229">
        <v>1259.7270000000001</v>
      </c>
      <c r="Q229">
        <v>0.38</v>
      </c>
    </row>
    <row r="230" spans="1:17">
      <c r="A230" t="s">
        <v>55</v>
      </c>
      <c r="B230" t="s">
        <v>25</v>
      </c>
      <c r="C230" t="s">
        <v>19</v>
      </c>
      <c r="D230" t="s">
        <v>42</v>
      </c>
      <c r="E230">
        <v>0.04</v>
      </c>
      <c r="F230">
        <v>2530.63</v>
      </c>
      <c r="G230">
        <v>0.42005606962473602</v>
      </c>
      <c r="H230">
        <v>3632</v>
      </c>
      <c r="I230">
        <v>12810</v>
      </c>
      <c r="J230">
        <v>1</v>
      </c>
      <c r="K230" t="s">
        <v>53</v>
      </c>
      <c r="L230" s="1">
        <v>44710</v>
      </c>
      <c r="M230" t="s">
        <v>104</v>
      </c>
      <c r="N230" t="s">
        <v>44</v>
      </c>
      <c r="O230">
        <v>2783.6930000000002</v>
      </c>
      <c r="P230">
        <v>253.06299999999999</v>
      </c>
      <c r="Q230">
        <v>0.7</v>
      </c>
    </row>
    <row r="231" spans="1:17">
      <c r="A231" t="s">
        <v>33</v>
      </c>
      <c r="B231" t="s">
        <v>18</v>
      </c>
      <c r="C231" t="s">
        <v>35</v>
      </c>
      <c r="D231" t="s">
        <v>20</v>
      </c>
      <c r="E231">
        <v>0.03</v>
      </c>
      <c r="F231">
        <v>12553.2</v>
      </c>
      <c r="G231">
        <v>5.66</v>
      </c>
      <c r="H231">
        <v>33223</v>
      </c>
      <c r="I231">
        <v>99926</v>
      </c>
      <c r="J231">
        <v>7</v>
      </c>
      <c r="K231" t="s">
        <v>37</v>
      </c>
      <c r="L231" s="1">
        <v>44785</v>
      </c>
      <c r="M231" t="s">
        <v>74</v>
      </c>
      <c r="N231" t="s">
        <v>32</v>
      </c>
      <c r="O231">
        <v>13808.52</v>
      </c>
      <c r="P231">
        <v>1255.32</v>
      </c>
      <c r="Q231">
        <v>0.38</v>
      </c>
    </row>
    <row r="232" spans="1:17">
      <c r="A232" t="s">
        <v>49</v>
      </c>
      <c r="B232" t="s">
        <v>34</v>
      </c>
      <c r="C232" t="s">
        <v>30</v>
      </c>
      <c r="D232" t="s">
        <v>36</v>
      </c>
      <c r="E232">
        <v>0.08</v>
      </c>
      <c r="F232">
        <v>6579.81</v>
      </c>
      <c r="G232">
        <v>7.09</v>
      </c>
      <c r="H232">
        <v>17053</v>
      </c>
      <c r="I232">
        <v>52032</v>
      </c>
      <c r="J232">
        <v>6</v>
      </c>
      <c r="K232" t="s">
        <v>53</v>
      </c>
      <c r="L232" s="1">
        <v>44602</v>
      </c>
      <c r="M232" t="s">
        <v>82</v>
      </c>
      <c r="N232" t="s">
        <v>60</v>
      </c>
      <c r="O232">
        <v>7237.7910000000002</v>
      </c>
      <c r="P232">
        <v>657.98099999999999</v>
      </c>
      <c r="Q232">
        <v>0.39</v>
      </c>
    </row>
    <row r="233" spans="1:17">
      <c r="A233" t="s">
        <v>49</v>
      </c>
      <c r="B233" t="s">
        <v>34</v>
      </c>
      <c r="C233" t="s">
        <v>40</v>
      </c>
      <c r="D233" t="s">
        <v>50</v>
      </c>
      <c r="E233">
        <v>0.08</v>
      </c>
      <c r="F233">
        <v>10866.19</v>
      </c>
      <c r="G233">
        <v>6.12</v>
      </c>
      <c r="H233">
        <v>28712</v>
      </c>
      <c r="I233">
        <v>86564</v>
      </c>
      <c r="J233">
        <v>2</v>
      </c>
      <c r="K233" t="s">
        <v>21</v>
      </c>
      <c r="L233" s="1">
        <v>44661</v>
      </c>
      <c r="M233" t="s">
        <v>48</v>
      </c>
      <c r="N233" t="s">
        <v>73</v>
      </c>
      <c r="O233">
        <v>11952.808999999999</v>
      </c>
      <c r="P233">
        <v>1086.6189999999999</v>
      </c>
      <c r="Q233">
        <v>0.38</v>
      </c>
    </row>
    <row r="234" spans="1:17">
      <c r="A234" t="s">
        <v>24</v>
      </c>
      <c r="B234" t="s">
        <v>29</v>
      </c>
      <c r="C234" t="s">
        <v>35</v>
      </c>
      <c r="D234" t="s">
        <v>36</v>
      </c>
      <c r="E234">
        <v>7.0000000000000007E-2</v>
      </c>
      <c r="F234">
        <v>13755.54</v>
      </c>
      <c r="G234">
        <v>4.93</v>
      </c>
      <c r="H234">
        <v>36151</v>
      </c>
      <c r="I234">
        <v>108599</v>
      </c>
      <c r="J234">
        <v>10</v>
      </c>
      <c r="K234" t="s">
        <v>37</v>
      </c>
      <c r="L234" s="1">
        <v>44761</v>
      </c>
      <c r="M234" t="s">
        <v>90</v>
      </c>
      <c r="N234" t="s">
        <v>23</v>
      </c>
      <c r="O234">
        <v>15131.093999999999</v>
      </c>
      <c r="P234">
        <v>1375.5540000000001</v>
      </c>
      <c r="Q234">
        <v>0.38</v>
      </c>
    </row>
    <row r="235" spans="1:17">
      <c r="A235" t="s">
        <v>24</v>
      </c>
      <c r="B235" t="s">
        <v>25</v>
      </c>
      <c r="C235" t="s">
        <v>30</v>
      </c>
      <c r="D235" t="s">
        <v>36</v>
      </c>
      <c r="E235">
        <v>0.09</v>
      </c>
      <c r="F235">
        <v>7326.52</v>
      </c>
      <c r="G235">
        <v>3.52</v>
      </c>
      <c r="H235">
        <v>19078</v>
      </c>
      <c r="I235">
        <v>58030</v>
      </c>
      <c r="J235">
        <v>10</v>
      </c>
      <c r="K235" t="s">
        <v>37</v>
      </c>
      <c r="L235" s="1">
        <v>44602</v>
      </c>
      <c r="M235" t="s">
        <v>38</v>
      </c>
      <c r="N235" t="s">
        <v>60</v>
      </c>
      <c r="O235">
        <v>8059.1719999999996</v>
      </c>
      <c r="P235">
        <v>732.65200000000095</v>
      </c>
      <c r="Q235">
        <v>0.38</v>
      </c>
    </row>
    <row r="236" spans="1:17">
      <c r="A236" t="s">
        <v>49</v>
      </c>
      <c r="B236" t="s">
        <v>34</v>
      </c>
      <c r="C236" t="s">
        <v>35</v>
      </c>
      <c r="D236" t="s">
        <v>42</v>
      </c>
      <c r="E236">
        <v>0.03</v>
      </c>
      <c r="F236">
        <v>15000</v>
      </c>
      <c r="G236">
        <v>0.34319474624659302</v>
      </c>
      <c r="H236">
        <v>22889</v>
      </c>
      <c r="I236">
        <v>75513</v>
      </c>
      <c r="J236">
        <v>1</v>
      </c>
      <c r="K236" t="s">
        <v>53</v>
      </c>
      <c r="L236" s="1">
        <v>44896</v>
      </c>
      <c r="M236" t="s">
        <v>54</v>
      </c>
      <c r="N236" t="s">
        <v>63</v>
      </c>
      <c r="O236">
        <v>16500</v>
      </c>
      <c r="P236">
        <v>1500</v>
      </c>
      <c r="Q236">
        <v>0.66</v>
      </c>
    </row>
    <row r="237" spans="1:17">
      <c r="A237" t="s">
        <v>33</v>
      </c>
      <c r="B237" t="s">
        <v>29</v>
      </c>
      <c r="C237" t="s">
        <v>19</v>
      </c>
      <c r="D237" t="s">
        <v>36</v>
      </c>
      <c r="E237">
        <v>0.09</v>
      </c>
      <c r="F237">
        <v>3491.45</v>
      </c>
      <c r="G237">
        <v>4.46</v>
      </c>
      <c r="H237">
        <v>8664</v>
      </c>
      <c r="I237">
        <v>27183</v>
      </c>
      <c r="J237">
        <v>2</v>
      </c>
      <c r="K237" t="s">
        <v>51</v>
      </c>
      <c r="L237" s="1">
        <v>44817</v>
      </c>
      <c r="M237" t="s">
        <v>59</v>
      </c>
      <c r="N237" t="s">
        <v>65</v>
      </c>
      <c r="O237">
        <v>3840.5949999999998</v>
      </c>
      <c r="P237">
        <v>349.14499999999998</v>
      </c>
      <c r="Q237">
        <v>0.4</v>
      </c>
    </row>
    <row r="238" spans="1:17">
      <c r="A238" t="s">
        <v>33</v>
      </c>
      <c r="B238" t="s">
        <v>34</v>
      </c>
      <c r="C238" t="s">
        <v>30</v>
      </c>
      <c r="D238" t="s">
        <v>50</v>
      </c>
      <c r="E238">
        <v>0.11</v>
      </c>
      <c r="F238">
        <v>4803.43</v>
      </c>
      <c r="G238">
        <v>0.61</v>
      </c>
      <c r="H238">
        <v>12234</v>
      </c>
      <c r="I238">
        <v>37757</v>
      </c>
      <c r="J238">
        <v>4</v>
      </c>
      <c r="K238" t="s">
        <v>37</v>
      </c>
      <c r="L238" s="1">
        <v>44780</v>
      </c>
      <c r="M238" t="s">
        <v>89</v>
      </c>
      <c r="N238" t="s">
        <v>32</v>
      </c>
      <c r="O238">
        <v>5283.7730000000001</v>
      </c>
      <c r="P238">
        <v>480.34300000000002</v>
      </c>
      <c r="Q238">
        <v>0.39</v>
      </c>
    </row>
    <row r="239" spans="1:17">
      <c r="A239" t="s">
        <v>24</v>
      </c>
      <c r="B239" t="s">
        <v>34</v>
      </c>
      <c r="C239" t="s">
        <v>19</v>
      </c>
      <c r="D239" t="s">
        <v>20</v>
      </c>
      <c r="E239">
        <v>0.02</v>
      </c>
      <c r="F239">
        <v>2771.27</v>
      </c>
      <c r="G239">
        <v>3.58</v>
      </c>
      <c r="H239">
        <v>6785</v>
      </c>
      <c r="I239">
        <v>21617</v>
      </c>
      <c r="J239">
        <v>10</v>
      </c>
      <c r="K239" t="s">
        <v>37</v>
      </c>
      <c r="L239" s="1">
        <v>44925</v>
      </c>
      <c r="M239" t="s">
        <v>91</v>
      </c>
      <c r="N239" t="s">
        <v>63</v>
      </c>
      <c r="O239">
        <v>3048.3969999999999</v>
      </c>
      <c r="P239">
        <v>277.12700000000001</v>
      </c>
      <c r="Q239">
        <v>0.41</v>
      </c>
    </row>
    <row r="240" spans="1:17">
      <c r="A240" t="s">
        <v>55</v>
      </c>
      <c r="B240" t="s">
        <v>25</v>
      </c>
      <c r="C240" t="s">
        <v>40</v>
      </c>
      <c r="D240" t="s">
        <v>50</v>
      </c>
      <c r="E240">
        <v>0.08</v>
      </c>
      <c r="F240">
        <v>11263.66</v>
      </c>
      <c r="G240">
        <v>6.35</v>
      </c>
      <c r="H240">
        <v>29796</v>
      </c>
      <c r="I240">
        <v>89777</v>
      </c>
      <c r="J240">
        <v>8</v>
      </c>
      <c r="K240" t="s">
        <v>53</v>
      </c>
      <c r="L240" s="1">
        <v>44789</v>
      </c>
      <c r="M240" t="s">
        <v>66</v>
      </c>
      <c r="N240" t="s">
        <v>32</v>
      </c>
      <c r="O240">
        <v>12390.026</v>
      </c>
      <c r="P240">
        <v>1126.366</v>
      </c>
      <c r="Q240">
        <v>0.38</v>
      </c>
    </row>
    <row r="241" spans="1:17">
      <c r="A241" t="s">
        <v>17</v>
      </c>
      <c r="B241" t="s">
        <v>29</v>
      </c>
      <c r="C241" t="s">
        <v>19</v>
      </c>
      <c r="D241" t="s">
        <v>36</v>
      </c>
      <c r="E241">
        <v>0.03</v>
      </c>
      <c r="F241">
        <v>1782.95</v>
      </c>
      <c r="G241">
        <v>1.81</v>
      </c>
      <c r="H241">
        <v>4401</v>
      </c>
      <c r="I241">
        <v>14554</v>
      </c>
      <c r="J241">
        <v>7</v>
      </c>
      <c r="K241" t="s">
        <v>21</v>
      </c>
      <c r="L241" s="1">
        <v>44778</v>
      </c>
      <c r="M241" t="s">
        <v>31</v>
      </c>
      <c r="N241" t="s">
        <v>32</v>
      </c>
      <c r="O241">
        <v>1961.2449999999999</v>
      </c>
      <c r="P241">
        <v>178.29499999999999</v>
      </c>
      <c r="Q241">
        <v>0.41</v>
      </c>
    </row>
    <row r="242" spans="1:17">
      <c r="A242" t="s">
        <v>67</v>
      </c>
      <c r="B242" t="s">
        <v>18</v>
      </c>
      <c r="C242" t="s">
        <v>40</v>
      </c>
      <c r="D242" t="s">
        <v>20</v>
      </c>
      <c r="E242">
        <v>0.12</v>
      </c>
      <c r="F242">
        <v>10284.86</v>
      </c>
      <c r="G242">
        <v>5.45</v>
      </c>
      <c r="H242">
        <v>27125</v>
      </c>
      <c r="I242">
        <v>81864</v>
      </c>
      <c r="J242">
        <v>4</v>
      </c>
      <c r="K242" t="s">
        <v>51</v>
      </c>
      <c r="L242" s="1">
        <v>44591</v>
      </c>
      <c r="M242" t="s">
        <v>85</v>
      </c>
      <c r="N242" t="s">
        <v>27</v>
      </c>
      <c r="O242">
        <v>11313.346</v>
      </c>
      <c r="P242">
        <v>1028.4860000000001</v>
      </c>
      <c r="Q242">
        <v>0.38</v>
      </c>
    </row>
    <row r="243" spans="1:17">
      <c r="A243" t="s">
        <v>67</v>
      </c>
      <c r="B243" t="s">
        <v>29</v>
      </c>
      <c r="C243" t="s">
        <v>40</v>
      </c>
      <c r="D243" t="s">
        <v>42</v>
      </c>
      <c r="E243">
        <v>0.14000000000000001</v>
      </c>
      <c r="F243">
        <v>9927.57</v>
      </c>
      <c r="G243">
        <v>0.53445431837360002</v>
      </c>
      <c r="H243">
        <v>15359</v>
      </c>
      <c r="I243">
        <v>50994</v>
      </c>
      <c r="J243">
        <v>1</v>
      </c>
      <c r="K243" t="s">
        <v>51</v>
      </c>
      <c r="L243" s="1">
        <v>44720</v>
      </c>
      <c r="M243" t="s">
        <v>97</v>
      </c>
      <c r="N243" t="s">
        <v>69</v>
      </c>
      <c r="O243">
        <v>10920.326999999999</v>
      </c>
      <c r="P243">
        <v>992.75700000000097</v>
      </c>
      <c r="Q243">
        <v>0.65</v>
      </c>
    </row>
    <row r="244" spans="1:17">
      <c r="A244" t="s">
        <v>55</v>
      </c>
      <c r="B244" t="s">
        <v>25</v>
      </c>
      <c r="C244" t="s">
        <v>19</v>
      </c>
      <c r="D244" t="s">
        <v>50</v>
      </c>
      <c r="E244">
        <v>0.04</v>
      </c>
      <c r="F244">
        <v>1050.8</v>
      </c>
      <c r="G244">
        <v>7.82</v>
      </c>
      <c r="H244">
        <v>2955</v>
      </c>
      <c r="I244">
        <v>10273</v>
      </c>
      <c r="J244">
        <v>2</v>
      </c>
      <c r="K244" t="s">
        <v>53</v>
      </c>
      <c r="L244" s="1">
        <v>44881</v>
      </c>
      <c r="M244" t="s">
        <v>104</v>
      </c>
      <c r="N244" t="s">
        <v>41</v>
      </c>
      <c r="O244">
        <v>1155.8800000000001</v>
      </c>
      <c r="P244">
        <v>105.08</v>
      </c>
      <c r="Q244">
        <v>0.36</v>
      </c>
    </row>
    <row r="245" spans="1:17">
      <c r="A245" t="s">
        <v>24</v>
      </c>
      <c r="B245" t="s">
        <v>29</v>
      </c>
      <c r="C245" t="s">
        <v>40</v>
      </c>
      <c r="D245" t="s">
        <v>50</v>
      </c>
      <c r="E245">
        <v>0.13</v>
      </c>
      <c r="F245">
        <v>10126.91</v>
      </c>
      <c r="G245">
        <v>3.29</v>
      </c>
      <c r="H245">
        <v>26704</v>
      </c>
      <c r="I245">
        <v>80618</v>
      </c>
      <c r="J245">
        <v>7</v>
      </c>
      <c r="K245" t="s">
        <v>51</v>
      </c>
      <c r="L245" s="1">
        <v>44850</v>
      </c>
      <c r="M245" t="s">
        <v>59</v>
      </c>
      <c r="N245" t="s">
        <v>57</v>
      </c>
      <c r="O245">
        <v>11139.601000000001</v>
      </c>
      <c r="P245">
        <v>1012.691</v>
      </c>
      <c r="Q245">
        <v>0.38</v>
      </c>
    </row>
    <row r="246" spans="1:17">
      <c r="A246" t="s">
        <v>39</v>
      </c>
      <c r="B246" t="s">
        <v>29</v>
      </c>
      <c r="C246" t="s">
        <v>30</v>
      </c>
      <c r="D246" t="s">
        <v>42</v>
      </c>
      <c r="E246">
        <v>0.15</v>
      </c>
      <c r="F246">
        <v>5885.35</v>
      </c>
      <c r="G246">
        <v>0.21449671640411999</v>
      </c>
      <c r="H246">
        <v>8919</v>
      </c>
      <c r="I246">
        <v>30026</v>
      </c>
      <c r="J246">
        <v>1</v>
      </c>
      <c r="K246" t="s">
        <v>46</v>
      </c>
      <c r="L246" s="1">
        <v>44584</v>
      </c>
      <c r="M246" t="s">
        <v>76</v>
      </c>
      <c r="N246" t="s">
        <v>27</v>
      </c>
      <c r="O246">
        <v>6473.8850000000002</v>
      </c>
      <c r="P246">
        <v>588.53499999999997</v>
      </c>
      <c r="Q246">
        <v>0.66</v>
      </c>
    </row>
    <row r="247" spans="1:17">
      <c r="A247" t="s">
        <v>17</v>
      </c>
      <c r="B247" t="s">
        <v>18</v>
      </c>
      <c r="C247" t="s">
        <v>35</v>
      </c>
      <c r="D247" t="s">
        <v>42</v>
      </c>
      <c r="E247">
        <v>0.14000000000000001</v>
      </c>
      <c r="F247">
        <v>12357.89</v>
      </c>
      <c r="G247">
        <v>1.1690071044024499</v>
      </c>
      <c r="H247">
        <v>19215</v>
      </c>
      <c r="I247">
        <v>63549</v>
      </c>
      <c r="J247">
        <v>1</v>
      </c>
      <c r="K247" t="s">
        <v>37</v>
      </c>
      <c r="L247" s="1">
        <v>44736</v>
      </c>
      <c r="M247" t="s">
        <v>56</v>
      </c>
      <c r="N247" t="s">
        <v>69</v>
      </c>
      <c r="O247">
        <v>13593.679</v>
      </c>
      <c r="P247">
        <v>1235.789</v>
      </c>
      <c r="Q247">
        <v>0.64</v>
      </c>
    </row>
    <row r="248" spans="1:17">
      <c r="A248" t="s">
        <v>45</v>
      </c>
      <c r="B248" t="s">
        <v>25</v>
      </c>
      <c r="C248" t="s">
        <v>35</v>
      </c>
      <c r="D248" t="s">
        <v>42</v>
      </c>
      <c r="E248">
        <v>0.1</v>
      </c>
      <c r="F248">
        <v>11671.71</v>
      </c>
      <c r="G248">
        <v>0.47189277608906499</v>
      </c>
      <c r="H248">
        <v>18150</v>
      </c>
      <c r="I248">
        <v>60082</v>
      </c>
      <c r="J248">
        <v>1</v>
      </c>
      <c r="K248" t="s">
        <v>51</v>
      </c>
      <c r="L248" s="1">
        <v>44768</v>
      </c>
      <c r="M248" t="s">
        <v>59</v>
      </c>
      <c r="N248" t="s">
        <v>23</v>
      </c>
      <c r="O248">
        <v>12838.880999999999</v>
      </c>
      <c r="P248">
        <v>1167.171</v>
      </c>
      <c r="Q248">
        <v>0.64</v>
      </c>
    </row>
    <row r="249" spans="1:17">
      <c r="A249" t="s">
        <v>49</v>
      </c>
      <c r="B249" t="s">
        <v>34</v>
      </c>
      <c r="C249" t="s">
        <v>19</v>
      </c>
      <c r="D249" t="s">
        <v>36</v>
      </c>
      <c r="E249">
        <v>0.08</v>
      </c>
      <c r="F249">
        <v>2488.2600000000002</v>
      </c>
      <c r="G249">
        <v>4.96</v>
      </c>
      <c r="H249">
        <v>6082</v>
      </c>
      <c r="I249">
        <v>19534</v>
      </c>
      <c r="J249">
        <v>2</v>
      </c>
      <c r="K249" t="s">
        <v>21</v>
      </c>
      <c r="L249" s="1">
        <v>44757</v>
      </c>
      <c r="M249" t="s">
        <v>48</v>
      </c>
      <c r="N249" t="s">
        <v>23</v>
      </c>
      <c r="O249">
        <v>2737.0859999999998</v>
      </c>
      <c r="P249">
        <v>248.82599999999999</v>
      </c>
      <c r="Q249">
        <v>0.41</v>
      </c>
    </row>
    <row r="250" spans="1:17">
      <c r="A250" t="s">
        <v>45</v>
      </c>
      <c r="B250" t="s">
        <v>29</v>
      </c>
      <c r="C250" t="s">
        <v>40</v>
      </c>
      <c r="D250" t="s">
        <v>20</v>
      </c>
      <c r="E250">
        <v>0.13</v>
      </c>
      <c r="F250">
        <v>11234.4</v>
      </c>
      <c r="G250">
        <v>3.18</v>
      </c>
      <c r="H250">
        <v>29722</v>
      </c>
      <c r="I250">
        <v>89559</v>
      </c>
      <c r="J250">
        <v>9</v>
      </c>
      <c r="K250" t="s">
        <v>51</v>
      </c>
      <c r="L250" s="1">
        <v>44882</v>
      </c>
      <c r="M250" t="s">
        <v>97</v>
      </c>
      <c r="N250" t="s">
        <v>41</v>
      </c>
      <c r="O250">
        <v>12357.84</v>
      </c>
      <c r="P250">
        <v>1123.44</v>
      </c>
      <c r="Q250">
        <v>0.38</v>
      </c>
    </row>
    <row r="251" spans="1:17">
      <c r="A251" t="s">
        <v>33</v>
      </c>
      <c r="B251" t="s">
        <v>34</v>
      </c>
      <c r="C251" t="s">
        <v>40</v>
      </c>
      <c r="D251" t="s">
        <v>42</v>
      </c>
      <c r="E251">
        <v>0.13</v>
      </c>
      <c r="F251">
        <v>8643.09</v>
      </c>
      <c r="G251">
        <v>1.36026667652946</v>
      </c>
      <c r="H251">
        <v>13315</v>
      </c>
      <c r="I251">
        <v>44337</v>
      </c>
      <c r="J251">
        <v>1</v>
      </c>
      <c r="K251" t="s">
        <v>21</v>
      </c>
      <c r="L251" s="1">
        <v>44798</v>
      </c>
      <c r="M251" t="s">
        <v>77</v>
      </c>
      <c r="N251" t="s">
        <v>32</v>
      </c>
      <c r="O251">
        <v>9507.3989999999994</v>
      </c>
      <c r="P251">
        <v>864.30900000000099</v>
      </c>
      <c r="Q251">
        <v>0.65</v>
      </c>
    </row>
    <row r="252" spans="1:17">
      <c r="A252" t="s">
        <v>49</v>
      </c>
      <c r="B252" t="s">
        <v>29</v>
      </c>
      <c r="C252" t="s">
        <v>40</v>
      </c>
      <c r="D252" t="s">
        <v>20</v>
      </c>
      <c r="E252">
        <v>0.09</v>
      </c>
      <c r="F252">
        <v>8996.18</v>
      </c>
      <c r="G252">
        <v>5.65</v>
      </c>
      <c r="H252">
        <v>23617</v>
      </c>
      <c r="I252">
        <v>71474</v>
      </c>
      <c r="J252">
        <v>4</v>
      </c>
      <c r="K252" t="s">
        <v>21</v>
      </c>
      <c r="L252" s="1">
        <v>44860</v>
      </c>
      <c r="M252" t="s">
        <v>31</v>
      </c>
      <c r="N252" t="s">
        <v>57</v>
      </c>
      <c r="O252">
        <v>9895.7980000000007</v>
      </c>
      <c r="P252">
        <v>899.61800000000005</v>
      </c>
      <c r="Q252">
        <v>0.38</v>
      </c>
    </row>
    <row r="253" spans="1:17">
      <c r="A253" t="s">
        <v>33</v>
      </c>
      <c r="B253" t="s">
        <v>18</v>
      </c>
      <c r="C253" t="s">
        <v>40</v>
      </c>
      <c r="D253" t="s">
        <v>20</v>
      </c>
      <c r="E253">
        <v>0.1</v>
      </c>
      <c r="F253">
        <v>7928.85</v>
      </c>
      <c r="G253">
        <v>3.76</v>
      </c>
      <c r="H253">
        <v>20716</v>
      </c>
      <c r="I253">
        <v>62881</v>
      </c>
      <c r="J253">
        <v>7</v>
      </c>
      <c r="K253" t="s">
        <v>21</v>
      </c>
      <c r="L253" s="1">
        <v>44912</v>
      </c>
      <c r="M253" t="s">
        <v>103</v>
      </c>
      <c r="N253" t="s">
        <v>63</v>
      </c>
      <c r="O253">
        <v>8721.7350000000006</v>
      </c>
      <c r="P253">
        <v>792.88499999999999</v>
      </c>
      <c r="Q253">
        <v>0.38</v>
      </c>
    </row>
    <row r="254" spans="1:17">
      <c r="A254" t="s">
        <v>55</v>
      </c>
      <c r="B254" t="s">
        <v>29</v>
      </c>
      <c r="C254" t="s">
        <v>19</v>
      </c>
      <c r="D254" t="s">
        <v>20</v>
      </c>
      <c r="E254">
        <v>0.08</v>
      </c>
      <c r="F254">
        <v>4076.64</v>
      </c>
      <c r="G254">
        <v>4.24</v>
      </c>
      <c r="H254">
        <v>10250</v>
      </c>
      <c r="I254">
        <v>31881</v>
      </c>
      <c r="J254">
        <v>4</v>
      </c>
      <c r="K254" t="s">
        <v>53</v>
      </c>
      <c r="L254" s="1">
        <v>44877</v>
      </c>
      <c r="M254" t="s">
        <v>84</v>
      </c>
      <c r="N254" t="s">
        <v>41</v>
      </c>
      <c r="O254">
        <v>4484.3040000000001</v>
      </c>
      <c r="P254">
        <v>407.66399999999999</v>
      </c>
      <c r="Q254">
        <v>0.4</v>
      </c>
    </row>
    <row r="255" spans="1:17">
      <c r="A255" t="s">
        <v>17</v>
      </c>
      <c r="B255" t="s">
        <v>25</v>
      </c>
      <c r="C255" t="s">
        <v>35</v>
      </c>
      <c r="D255" t="s">
        <v>36</v>
      </c>
      <c r="E255">
        <v>7.0000000000000007E-2</v>
      </c>
      <c r="F255">
        <v>11814.15</v>
      </c>
      <c r="G255">
        <v>5.96</v>
      </c>
      <c r="H255">
        <v>31287</v>
      </c>
      <c r="I255">
        <v>94193</v>
      </c>
      <c r="J255">
        <v>4</v>
      </c>
      <c r="K255" t="s">
        <v>37</v>
      </c>
      <c r="L255" s="1">
        <v>44828</v>
      </c>
      <c r="M255" t="s">
        <v>89</v>
      </c>
      <c r="N255" t="s">
        <v>65</v>
      </c>
      <c r="O255">
        <v>12995.565000000001</v>
      </c>
      <c r="P255">
        <v>1181.415</v>
      </c>
      <c r="Q255">
        <v>0.38</v>
      </c>
    </row>
    <row r="256" spans="1:17">
      <c r="A256" t="s">
        <v>24</v>
      </c>
      <c r="B256" t="s">
        <v>29</v>
      </c>
      <c r="C256" t="s">
        <v>30</v>
      </c>
      <c r="D256" t="s">
        <v>20</v>
      </c>
      <c r="E256">
        <v>0.02</v>
      </c>
      <c r="F256">
        <v>6849.5</v>
      </c>
      <c r="G256">
        <v>7.28</v>
      </c>
      <c r="H256">
        <v>17789</v>
      </c>
      <c r="I256">
        <v>54211</v>
      </c>
      <c r="J256">
        <v>4</v>
      </c>
      <c r="K256" t="s">
        <v>53</v>
      </c>
      <c r="L256" s="1">
        <v>44659</v>
      </c>
      <c r="M256" t="s">
        <v>78</v>
      </c>
      <c r="N256" t="s">
        <v>73</v>
      </c>
      <c r="O256">
        <v>7534.45</v>
      </c>
      <c r="P256">
        <v>684.95</v>
      </c>
      <c r="Q256">
        <v>0.39</v>
      </c>
    </row>
    <row r="257" spans="1:17">
      <c r="A257" t="s">
        <v>45</v>
      </c>
      <c r="B257" t="s">
        <v>25</v>
      </c>
      <c r="C257" t="s">
        <v>40</v>
      </c>
      <c r="D257" t="s">
        <v>20</v>
      </c>
      <c r="E257">
        <v>0.13</v>
      </c>
      <c r="F257">
        <v>11344.25</v>
      </c>
      <c r="G257">
        <v>5.32</v>
      </c>
      <c r="H257">
        <v>30013</v>
      </c>
      <c r="I257">
        <v>90420</v>
      </c>
      <c r="J257">
        <v>8</v>
      </c>
      <c r="K257" t="s">
        <v>21</v>
      </c>
      <c r="L257" s="1">
        <v>44650</v>
      </c>
      <c r="M257" t="s">
        <v>22</v>
      </c>
      <c r="N257" t="s">
        <v>81</v>
      </c>
      <c r="O257">
        <v>12478.674999999999</v>
      </c>
      <c r="P257">
        <v>1134.425</v>
      </c>
      <c r="Q257">
        <v>0.38</v>
      </c>
    </row>
    <row r="258" spans="1:17">
      <c r="A258" t="s">
        <v>49</v>
      </c>
      <c r="B258" t="s">
        <v>29</v>
      </c>
      <c r="C258" t="s">
        <v>35</v>
      </c>
      <c r="D258" t="s">
        <v>42</v>
      </c>
      <c r="E258">
        <v>0.05</v>
      </c>
      <c r="F258">
        <v>13516.47</v>
      </c>
      <c r="G258">
        <v>0.53087937310019895</v>
      </c>
      <c r="H258">
        <v>20921</v>
      </c>
      <c r="I258">
        <v>69103</v>
      </c>
      <c r="J258">
        <v>1</v>
      </c>
      <c r="K258" t="s">
        <v>46</v>
      </c>
      <c r="L258" s="1">
        <v>44668</v>
      </c>
      <c r="M258" t="s">
        <v>47</v>
      </c>
      <c r="N258" t="s">
        <v>73</v>
      </c>
      <c r="O258">
        <v>14868.117</v>
      </c>
      <c r="P258">
        <v>1351.6469999999999</v>
      </c>
      <c r="Q258">
        <v>0.65</v>
      </c>
    </row>
    <row r="259" spans="1:17">
      <c r="A259" t="s">
        <v>17</v>
      </c>
      <c r="B259" t="s">
        <v>18</v>
      </c>
      <c r="C259" t="s">
        <v>19</v>
      </c>
      <c r="D259" t="s">
        <v>50</v>
      </c>
      <c r="E259">
        <v>0.08</v>
      </c>
      <c r="F259">
        <v>823.07</v>
      </c>
      <c r="G259">
        <v>3.02</v>
      </c>
      <c r="H259">
        <v>2553</v>
      </c>
      <c r="I259">
        <v>9081</v>
      </c>
      <c r="J259">
        <v>1</v>
      </c>
      <c r="K259" t="s">
        <v>46</v>
      </c>
      <c r="L259" s="1">
        <v>44816</v>
      </c>
      <c r="M259" t="s">
        <v>76</v>
      </c>
      <c r="N259" t="s">
        <v>65</v>
      </c>
      <c r="O259">
        <v>905.37699999999995</v>
      </c>
      <c r="P259">
        <v>82.307000000000102</v>
      </c>
      <c r="Q259">
        <v>0.32</v>
      </c>
    </row>
    <row r="260" spans="1:17">
      <c r="A260" t="s">
        <v>49</v>
      </c>
      <c r="B260" t="s">
        <v>18</v>
      </c>
      <c r="C260" t="s">
        <v>35</v>
      </c>
      <c r="D260" t="s">
        <v>50</v>
      </c>
      <c r="E260">
        <v>7.0000000000000007E-2</v>
      </c>
      <c r="F260">
        <v>11501.51</v>
      </c>
      <c r="G260">
        <v>4.92</v>
      </c>
      <c r="H260">
        <v>30443</v>
      </c>
      <c r="I260">
        <v>91693</v>
      </c>
      <c r="J260">
        <v>8</v>
      </c>
      <c r="K260" t="s">
        <v>21</v>
      </c>
      <c r="L260" s="1">
        <v>44897</v>
      </c>
      <c r="M260" t="s">
        <v>80</v>
      </c>
      <c r="N260" t="s">
        <v>63</v>
      </c>
      <c r="O260">
        <v>12651.661</v>
      </c>
      <c r="P260">
        <v>1150.1510000000001</v>
      </c>
      <c r="Q260">
        <v>0.38</v>
      </c>
    </row>
    <row r="261" spans="1:17">
      <c r="A261" t="s">
        <v>17</v>
      </c>
      <c r="B261" t="s">
        <v>34</v>
      </c>
      <c r="C261" t="s">
        <v>30</v>
      </c>
      <c r="D261" t="s">
        <v>20</v>
      </c>
      <c r="E261">
        <v>0.04</v>
      </c>
      <c r="F261">
        <v>6077.34</v>
      </c>
      <c r="G261">
        <v>0.31</v>
      </c>
      <c r="H261">
        <v>15711</v>
      </c>
      <c r="I261">
        <v>48057</v>
      </c>
      <c r="J261">
        <v>8</v>
      </c>
      <c r="K261" t="s">
        <v>53</v>
      </c>
      <c r="L261" s="1">
        <v>44690</v>
      </c>
      <c r="M261" t="s">
        <v>54</v>
      </c>
      <c r="N261" t="s">
        <v>44</v>
      </c>
      <c r="O261">
        <v>6685.0739999999996</v>
      </c>
      <c r="P261">
        <v>607.73400000000004</v>
      </c>
      <c r="Q261">
        <v>0.39</v>
      </c>
    </row>
    <row r="262" spans="1:17">
      <c r="A262" t="s">
        <v>49</v>
      </c>
      <c r="B262" t="s">
        <v>18</v>
      </c>
      <c r="C262" t="s">
        <v>19</v>
      </c>
      <c r="D262" t="s">
        <v>50</v>
      </c>
      <c r="E262">
        <v>0.11</v>
      </c>
      <c r="F262">
        <v>523.05999999999995</v>
      </c>
      <c r="G262">
        <v>4.72</v>
      </c>
      <c r="H262">
        <v>2117</v>
      </c>
      <c r="I262">
        <v>7789</v>
      </c>
      <c r="J262">
        <v>6</v>
      </c>
      <c r="K262" t="s">
        <v>51</v>
      </c>
      <c r="L262" s="1">
        <v>44753</v>
      </c>
      <c r="M262" t="s">
        <v>52</v>
      </c>
      <c r="N262" t="s">
        <v>23</v>
      </c>
      <c r="O262">
        <v>575.36599999999999</v>
      </c>
      <c r="P262">
        <v>52.305999999999997</v>
      </c>
      <c r="Q262">
        <v>0.25</v>
      </c>
    </row>
    <row r="263" spans="1:17">
      <c r="A263" t="s">
        <v>28</v>
      </c>
      <c r="B263" t="s">
        <v>25</v>
      </c>
      <c r="C263" t="s">
        <v>19</v>
      </c>
      <c r="D263" t="s">
        <v>50</v>
      </c>
      <c r="E263">
        <v>0.01</v>
      </c>
      <c r="F263">
        <v>1282.17</v>
      </c>
      <c r="G263">
        <v>7.07</v>
      </c>
      <c r="H263">
        <v>3376</v>
      </c>
      <c r="I263">
        <v>11520</v>
      </c>
      <c r="J263">
        <v>10</v>
      </c>
      <c r="K263" t="s">
        <v>21</v>
      </c>
      <c r="L263" s="1">
        <v>44900</v>
      </c>
      <c r="M263" t="s">
        <v>26</v>
      </c>
      <c r="N263" t="s">
        <v>63</v>
      </c>
      <c r="O263">
        <v>1410.3869999999999</v>
      </c>
      <c r="P263">
        <v>128.21700000000001</v>
      </c>
      <c r="Q263">
        <v>0.38</v>
      </c>
    </row>
    <row r="264" spans="1:17">
      <c r="A264" t="s">
        <v>49</v>
      </c>
      <c r="B264" t="s">
        <v>29</v>
      </c>
      <c r="C264" t="s">
        <v>30</v>
      </c>
      <c r="D264" t="s">
        <v>42</v>
      </c>
      <c r="E264">
        <v>0.06</v>
      </c>
      <c r="F264">
        <v>4687.74</v>
      </c>
      <c r="G264">
        <v>1.20475655713647</v>
      </c>
      <c r="H264">
        <v>7003</v>
      </c>
      <c r="I264">
        <v>23786</v>
      </c>
      <c r="J264">
        <v>1</v>
      </c>
      <c r="K264" t="s">
        <v>21</v>
      </c>
      <c r="L264" s="1">
        <v>44772</v>
      </c>
      <c r="M264" t="s">
        <v>26</v>
      </c>
      <c r="N264" t="s">
        <v>23</v>
      </c>
      <c r="O264">
        <v>5156.5140000000001</v>
      </c>
      <c r="P264">
        <v>468.774</v>
      </c>
      <c r="Q264">
        <v>0.67</v>
      </c>
    </row>
    <row r="265" spans="1:17">
      <c r="A265" t="s">
        <v>67</v>
      </c>
      <c r="B265" t="s">
        <v>29</v>
      </c>
      <c r="C265" t="s">
        <v>40</v>
      </c>
      <c r="D265" t="s">
        <v>20</v>
      </c>
      <c r="E265">
        <v>0.03</v>
      </c>
      <c r="F265">
        <v>9840.9699999999993</v>
      </c>
      <c r="G265">
        <v>4.3499999999999996</v>
      </c>
      <c r="H265">
        <v>25930</v>
      </c>
      <c r="I265">
        <v>78324</v>
      </c>
      <c r="J265">
        <v>4</v>
      </c>
      <c r="K265" t="s">
        <v>46</v>
      </c>
      <c r="L265" s="1">
        <v>44804</v>
      </c>
      <c r="M265" t="s">
        <v>96</v>
      </c>
      <c r="N265" t="s">
        <v>32</v>
      </c>
      <c r="O265">
        <v>10825.066999999999</v>
      </c>
      <c r="P265">
        <v>984.097000000001</v>
      </c>
      <c r="Q265">
        <v>0.38</v>
      </c>
    </row>
    <row r="266" spans="1:17">
      <c r="A266" t="s">
        <v>17</v>
      </c>
      <c r="B266" t="s">
        <v>29</v>
      </c>
      <c r="C266" t="s">
        <v>30</v>
      </c>
      <c r="D266" t="s">
        <v>50</v>
      </c>
      <c r="E266">
        <v>0.05</v>
      </c>
      <c r="F266">
        <v>5351.46</v>
      </c>
      <c r="G266">
        <v>2.91</v>
      </c>
      <c r="H266">
        <v>13728</v>
      </c>
      <c r="I266">
        <v>42184</v>
      </c>
      <c r="J266">
        <v>7</v>
      </c>
      <c r="K266" t="s">
        <v>46</v>
      </c>
      <c r="L266" s="1">
        <v>44861</v>
      </c>
      <c r="M266" t="s">
        <v>87</v>
      </c>
      <c r="N266" t="s">
        <v>57</v>
      </c>
      <c r="O266">
        <v>5886.6059999999998</v>
      </c>
      <c r="P266">
        <v>535.14599999999996</v>
      </c>
      <c r="Q266">
        <v>0.39</v>
      </c>
    </row>
    <row r="267" spans="1:17">
      <c r="A267" t="s">
        <v>45</v>
      </c>
      <c r="B267" t="s">
        <v>25</v>
      </c>
      <c r="C267" t="s">
        <v>40</v>
      </c>
      <c r="D267" t="s">
        <v>50</v>
      </c>
      <c r="E267">
        <v>0.09</v>
      </c>
      <c r="F267">
        <v>9106.2199999999993</v>
      </c>
      <c r="G267">
        <v>6.32</v>
      </c>
      <c r="H267">
        <v>23906</v>
      </c>
      <c r="I267">
        <v>72332</v>
      </c>
      <c r="J267">
        <v>8</v>
      </c>
      <c r="K267" t="s">
        <v>21</v>
      </c>
      <c r="L267" s="1">
        <v>44720</v>
      </c>
      <c r="M267" t="s">
        <v>71</v>
      </c>
      <c r="N267" t="s">
        <v>69</v>
      </c>
      <c r="O267">
        <v>10016.842000000001</v>
      </c>
      <c r="P267">
        <v>910.62200000000098</v>
      </c>
      <c r="Q267">
        <v>0.38</v>
      </c>
    </row>
    <row r="268" spans="1:17">
      <c r="A268" t="s">
        <v>24</v>
      </c>
      <c r="B268" t="s">
        <v>25</v>
      </c>
      <c r="C268" t="s">
        <v>40</v>
      </c>
      <c r="D268" t="s">
        <v>42</v>
      </c>
      <c r="E268">
        <v>0.08</v>
      </c>
      <c r="F268">
        <v>11358.75</v>
      </c>
      <c r="G268">
        <v>0.105460885565359</v>
      </c>
      <c r="H268">
        <v>17651</v>
      </c>
      <c r="I268">
        <v>58456</v>
      </c>
      <c r="J268">
        <v>1</v>
      </c>
      <c r="K268" t="s">
        <v>37</v>
      </c>
      <c r="L268" s="1">
        <v>44815</v>
      </c>
      <c r="M268" t="s">
        <v>90</v>
      </c>
      <c r="N268" t="s">
        <v>65</v>
      </c>
      <c r="O268">
        <v>12494.625</v>
      </c>
      <c r="P268">
        <v>1135.875</v>
      </c>
      <c r="Q268">
        <v>0.64</v>
      </c>
    </row>
    <row r="269" spans="1:17">
      <c r="A269" t="s">
        <v>55</v>
      </c>
      <c r="B269" t="s">
        <v>25</v>
      </c>
      <c r="C269" t="s">
        <v>35</v>
      </c>
      <c r="D269" t="s">
        <v>36</v>
      </c>
      <c r="E269">
        <v>0.12</v>
      </c>
      <c r="F269">
        <v>12879.65</v>
      </c>
      <c r="G269">
        <v>2.59</v>
      </c>
      <c r="H269">
        <v>34077</v>
      </c>
      <c r="I269">
        <v>102458</v>
      </c>
      <c r="J269">
        <v>6</v>
      </c>
      <c r="K269" t="s">
        <v>46</v>
      </c>
      <c r="L269" s="1">
        <v>44722</v>
      </c>
      <c r="M269" t="s">
        <v>76</v>
      </c>
      <c r="N269" t="s">
        <v>69</v>
      </c>
      <c r="O269">
        <v>14167.615</v>
      </c>
      <c r="P269">
        <v>1287.9649999999999</v>
      </c>
      <c r="Q269">
        <v>0.38</v>
      </c>
    </row>
    <row r="270" spans="1:17">
      <c r="A270" t="s">
        <v>55</v>
      </c>
      <c r="B270" t="s">
        <v>25</v>
      </c>
      <c r="C270" t="s">
        <v>30</v>
      </c>
      <c r="D270" t="s">
        <v>50</v>
      </c>
      <c r="E270">
        <v>0.05</v>
      </c>
      <c r="F270">
        <v>7313.87</v>
      </c>
      <c r="G270">
        <v>2.4700000000000002</v>
      </c>
      <c r="H270">
        <v>19045</v>
      </c>
      <c r="I270">
        <v>57932</v>
      </c>
      <c r="J270">
        <v>6</v>
      </c>
      <c r="K270" t="s">
        <v>51</v>
      </c>
      <c r="L270" s="1">
        <v>44587</v>
      </c>
      <c r="M270" t="s">
        <v>85</v>
      </c>
      <c r="N270" t="s">
        <v>27</v>
      </c>
      <c r="O270">
        <v>8045.2569999999996</v>
      </c>
      <c r="P270">
        <v>731.38699999999994</v>
      </c>
      <c r="Q270">
        <v>0.38</v>
      </c>
    </row>
    <row r="271" spans="1:17">
      <c r="A271" t="s">
        <v>24</v>
      </c>
      <c r="B271" t="s">
        <v>34</v>
      </c>
      <c r="C271" t="s">
        <v>19</v>
      </c>
      <c r="D271" t="s">
        <v>36</v>
      </c>
      <c r="E271">
        <v>0.08</v>
      </c>
      <c r="F271">
        <v>500</v>
      </c>
      <c r="G271">
        <v>0.18</v>
      </c>
      <c r="H271">
        <v>1353</v>
      </c>
      <c r="I271">
        <v>5528</v>
      </c>
      <c r="J271">
        <v>9</v>
      </c>
      <c r="K271" t="s">
        <v>51</v>
      </c>
      <c r="L271" s="1">
        <v>44708</v>
      </c>
      <c r="M271" t="s">
        <v>72</v>
      </c>
      <c r="N271" t="s">
        <v>44</v>
      </c>
      <c r="O271">
        <v>550</v>
      </c>
      <c r="P271">
        <v>50</v>
      </c>
      <c r="Q271">
        <v>0.37</v>
      </c>
    </row>
    <row r="272" spans="1:17">
      <c r="A272" t="s">
        <v>45</v>
      </c>
      <c r="B272" t="s">
        <v>25</v>
      </c>
      <c r="C272" t="s">
        <v>30</v>
      </c>
      <c r="D272" t="s">
        <v>36</v>
      </c>
      <c r="E272">
        <v>0.03</v>
      </c>
      <c r="F272">
        <v>5189.07</v>
      </c>
      <c r="G272">
        <v>2.74</v>
      </c>
      <c r="H272">
        <v>13296</v>
      </c>
      <c r="I272">
        <v>40904</v>
      </c>
      <c r="J272">
        <v>9</v>
      </c>
      <c r="K272" t="s">
        <v>51</v>
      </c>
      <c r="L272" s="1">
        <v>44769</v>
      </c>
      <c r="M272" t="s">
        <v>79</v>
      </c>
      <c r="N272" t="s">
        <v>23</v>
      </c>
      <c r="O272">
        <v>5707.9769999999999</v>
      </c>
      <c r="P272">
        <v>518.90700000000004</v>
      </c>
      <c r="Q272">
        <v>0.39</v>
      </c>
    </row>
    <row r="273" spans="1:17">
      <c r="A273" t="s">
        <v>67</v>
      </c>
      <c r="B273" t="s">
        <v>18</v>
      </c>
      <c r="C273" t="s">
        <v>40</v>
      </c>
      <c r="D273" t="s">
        <v>36</v>
      </c>
      <c r="E273">
        <v>0.12</v>
      </c>
      <c r="F273">
        <v>11084.84</v>
      </c>
      <c r="G273">
        <v>4.2</v>
      </c>
      <c r="H273">
        <v>29308</v>
      </c>
      <c r="I273">
        <v>88330</v>
      </c>
      <c r="J273">
        <v>3</v>
      </c>
      <c r="K273" t="s">
        <v>21</v>
      </c>
      <c r="L273" s="1">
        <v>44812</v>
      </c>
      <c r="M273" t="s">
        <v>43</v>
      </c>
      <c r="N273" t="s">
        <v>65</v>
      </c>
      <c r="O273">
        <v>12193.324000000001</v>
      </c>
      <c r="P273">
        <v>1108.4839999999999</v>
      </c>
      <c r="Q273">
        <v>0.38</v>
      </c>
    </row>
    <row r="274" spans="1:17">
      <c r="A274" t="s">
        <v>49</v>
      </c>
      <c r="B274" t="s">
        <v>29</v>
      </c>
      <c r="C274" t="s">
        <v>30</v>
      </c>
      <c r="D274" t="s">
        <v>42</v>
      </c>
      <c r="E274">
        <v>0.04</v>
      </c>
      <c r="F274">
        <v>7612.2</v>
      </c>
      <c r="G274">
        <v>0.57377871638102296</v>
      </c>
      <c r="H274">
        <v>11656</v>
      </c>
      <c r="I274">
        <v>38934</v>
      </c>
      <c r="J274">
        <v>1</v>
      </c>
      <c r="K274" t="s">
        <v>21</v>
      </c>
      <c r="L274" s="1">
        <v>44803</v>
      </c>
      <c r="M274" t="s">
        <v>22</v>
      </c>
      <c r="N274" t="s">
        <v>32</v>
      </c>
      <c r="O274">
        <v>8373.42</v>
      </c>
      <c r="P274">
        <v>761.22</v>
      </c>
      <c r="Q274">
        <v>0.65</v>
      </c>
    </row>
    <row r="275" spans="1:17">
      <c r="A275" t="s">
        <v>67</v>
      </c>
      <c r="B275" t="s">
        <v>18</v>
      </c>
      <c r="C275" t="s">
        <v>40</v>
      </c>
      <c r="D275" t="s">
        <v>50</v>
      </c>
      <c r="E275">
        <v>0.05</v>
      </c>
      <c r="F275">
        <v>9407.19</v>
      </c>
      <c r="G275">
        <v>5.88</v>
      </c>
      <c r="H275">
        <v>24725</v>
      </c>
      <c r="I275">
        <v>74756</v>
      </c>
      <c r="J275">
        <v>1</v>
      </c>
      <c r="K275" t="s">
        <v>53</v>
      </c>
      <c r="L275" s="1">
        <v>44904</v>
      </c>
      <c r="M275" t="s">
        <v>66</v>
      </c>
      <c r="N275" t="s">
        <v>63</v>
      </c>
      <c r="O275">
        <v>10347.909</v>
      </c>
      <c r="P275">
        <v>940.71900000000096</v>
      </c>
      <c r="Q275">
        <v>0.38</v>
      </c>
    </row>
    <row r="276" spans="1:17">
      <c r="A276" t="s">
        <v>55</v>
      </c>
      <c r="B276" t="s">
        <v>29</v>
      </c>
      <c r="C276" t="s">
        <v>40</v>
      </c>
      <c r="D276" t="s">
        <v>36</v>
      </c>
      <c r="E276">
        <v>0.04</v>
      </c>
      <c r="F276">
        <v>7772.48</v>
      </c>
      <c r="G276">
        <v>3.75</v>
      </c>
      <c r="H276">
        <v>20295</v>
      </c>
      <c r="I276">
        <v>61635</v>
      </c>
      <c r="J276">
        <v>5</v>
      </c>
      <c r="K276" t="s">
        <v>51</v>
      </c>
      <c r="L276" s="1">
        <v>44899</v>
      </c>
      <c r="M276" t="s">
        <v>52</v>
      </c>
      <c r="N276" t="s">
        <v>63</v>
      </c>
      <c r="O276">
        <v>8549.7279999999992</v>
      </c>
      <c r="P276">
        <v>777.24800000000096</v>
      </c>
      <c r="Q276">
        <v>0.38</v>
      </c>
    </row>
    <row r="277" spans="1:17">
      <c r="A277" t="s">
        <v>45</v>
      </c>
      <c r="B277" t="s">
        <v>34</v>
      </c>
      <c r="C277" t="s">
        <v>35</v>
      </c>
      <c r="D277" t="s">
        <v>20</v>
      </c>
      <c r="E277">
        <v>0.12</v>
      </c>
      <c r="F277">
        <v>15000</v>
      </c>
      <c r="G277">
        <v>0.2</v>
      </c>
      <c r="H277">
        <v>38853</v>
      </c>
      <c r="I277">
        <v>116605</v>
      </c>
      <c r="J277">
        <v>4</v>
      </c>
      <c r="K277" t="s">
        <v>46</v>
      </c>
      <c r="L277" s="1">
        <v>44692</v>
      </c>
      <c r="M277" t="s">
        <v>47</v>
      </c>
      <c r="N277" t="s">
        <v>44</v>
      </c>
      <c r="O277">
        <v>16500</v>
      </c>
      <c r="P277">
        <v>1500</v>
      </c>
      <c r="Q277">
        <v>0.39</v>
      </c>
    </row>
    <row r="278" spans="1:17">
      <c r="A278" t="s">
        <v>55</v>
      </c>
      <c r="B278" t="s">
        <v>18</v>
      </c>
      <c r="C278" t="s">
        <v>40</v>
      </c>
      <c r="D278" t="s">
        <v>42</v>
      </c>
      <c r="E278">
        <v>0.14000000000000001</v>
      </c>
      <c r="F278">
        <v>8994.11</v>
      </c>
      <c r="G278">
        <v>0.62740289548205297</v>
      </c>
      <c r="H278">
        <v>13867</v>
      </c>
      <c r="I278">
        <v>46135</v>
      </c>
      <c r="J278">
        <v>1</v>
      </c>
      <c r="K278" t="s">
        <v>21</v>
      </c>
      <c r="L278" s="1">
        <v>44770</v>
      </c>
      <c r="M278" t="s">
        <v>26</v>
      </c>
      <c r="N278" t="s">
        <v>23</v>
      </c>
      <c r="O278">
        <v>9893.5210000000006</v>
      </c>
      <c r="P278">
        <v>899.41099999999994</v>
      </c>
      <c r="Q278">
        <v>0.65</v>
      </c>
    </row>
    <row r="279" spans="1:17">
      <c r="A279" t="s">
        <v>49</v>
      </c>
      <c r="B279" t="s">
        <v>25</v>
      </c>
      <c r="C279" t="s">
        <v>30</v>
      </c>
      <c r="D279" t="s">
        <v>36</v>
      </c>
      <c r="E279">
        <v>0.13</v>
      </c>
      <c r="F279">
        <v>4376.0600000000004</v>
      </c>
      <c r="G279">
        <v>5.97</v>
      </c>
      <c r="H279">
        <v>11070</v>
      </c>
      <c r="I279">
        <v>34310</v>
      </c>
      <c r="J279">
        <v>6</v>
      </c>
      <c r="K279" t="s">
        <v>51</v>
      </c>
      <c r="L279" s="1">
        <v>44847</v>
      </c>
      <c r="M279" t="s">
        <v>62</v>
      </c>
      <c r="N279" t="s">
        <v>57</v>
      </c>
      <c r="O279">
        <v>4813.6660000000002</v>
      </c>
      <c r="P279">
        <v>437.60599999999999</v>
      </c>
      <c r="Q279">
        <v>0.4</v>
      </c>
    </row>
    <row r="280" spans="1:17">
      <c r="A280" t="s">
        <v>49</v>
      </c>
      <c r="B280" t="s">
        <v>29</v>
      </c>
      <c r="C280" t="s">
        <v>19</v>
      </c>
      <c r="D280" t="s">
        <v>36</v>
      </c>
      <c r="E280">
        <v>0.05</v>
      </c>
      <c r="F280">
        <v>3602.35</v>
      </c>
      <c r="G280">
        <v>0.8</v>
      </c>
      <c r="H280">
        <v>8965</v>
      </c>
      <c r="I280">
        <v>28075</v>
      </c>
      <c r="J280">
        <v>2</v>
      </c>
      <c r="K280" t="s">
        <v>51</v>
      </c>
      <c r="L280" s="1">
        <v>44851</v>
      </c>
      <c r="M280" t="s">
        <v>62</v>
      </c>
      <c r="N280" t="s">
        <v>57</v>
      </c>
      <c r="O280">
        <v>3962.585</v>
      </c>
      <c r="P280">
        <v>360.23500000000001</v>
      </c>
      <c r="Q280">
        <v>0.4</v>
      </c>
    </row>
    <row r="281" spans="1:17">
      <c r="A281" t="s">
        <v>17</v>
      </c>
      <c r="B281" t="s">
        <v>34</v>
      </c>
      <c r="C281" t="s">
        <v>40</v>
      </c>
      <c r="D281" t="s">
        <v>36</v>
      </c>
      <c r="E281">
        <v>0.13</v>
      </c>
      <c r="F281">
        <v>11217.68</v>
      </c>
      <c r="G281">
        <v>0.51</v>
      </c>
      <c r="H281">
        <v>29675</v>
      </c>
      <c r="I281">
        <v>89419</v>
      </c>
      <c r="J281">
        <v>7</v>
      </c>
      <c r="K281" t="s">
        <v>51</v>
      </c>
      <c r="L281" s="1">
        <v>44711</v>
      </c>
      <c r="M281" t="s">
        <v>79</v>
      </c>
      <c r="N281" t="s">
        <v>44</v>
      </c>
      <c r="O281">
        <v>12339.448</v>
      </c>
      <c r="P281">
        <v>1121.768</v>
      </c>
      <c r="Q281">
        <v>0.38</v>
      </c>
    </row>
    <row r="282" spans="1:17">
      <c r="A282" t="s">
        <v>28</v>
      </c>
      <c r="B282" t="s">
        <v>34</v>
      </c>
      <c r="C282" t="s">
        <v>30</v>
      </c>
      <c r="D282" t="s">
        <v>20</v>
      </c>
      <c r="E282">
        <v>0.06</v>
      </c>
      <c r="F282">
        <v>7564.47</v>
      </c>
      <c r="G282">
        <v>5.97</v>
      </c>
      <c r="H282">
        <v>19721</v>
      </c>
      <c r="I282">
        <v>59933</v>
      </c>
      <c r="J282">
        <v>10</v>
      </c>
      <c r="K282" t="s">
        <v>51</v>
      </c>
      <c r="L282" s="1">
        <v>44633</v>
      </c>
      <c r="M282" t="s">
        <v>92</v>
      </c>
      <c r="N282" t="s">
        <v>81</v>
      </c>
      <c r="O282">
        <v>8320.9169999999995</v>
      </c>
      <c r="P282">
        <v>756.44700000000103</v>
      </c>
      <c r="Q282">
        <v>0.38</v>
      </c>
    </row>
    <row r="283" spans="1:17">
      <c r="A283" t="s">
        <v>17</v>
      </c>
      <c r="B283" t="s">
        <v>34</v>
      </c>
      <c r="C283" t="s">
        <v>35</v>
      </c>
      <c r="D283" t="s">
        <v>50</v>
      </c>
      <c r="E283">
        <v>0.06</v>
      </c>
      <c r="F283">
        <v>13520.28</v>
      </c>
      <c r="G283">
        <v>4.4400000000000004</v>
      </c>
      <c r="H283">
        <v>35630</v>
      </c>
      <c r="I283">
        <v>107057</v>
      </c>
      <c r="J283">
        <v>9</v>
      </c>
      <c r="K283" t="s">
        <v>21</v>
      </c>
      <c r="L283" s="1">
        <v>44826</v>
      </c>
      <c r="M283" t="s">
        <v>26</v>
      </c>
      <c r="N283" t="s">
        <v>65</v>
      </c>
      <c r="O283">
        <v>14872.308000000001</v>
      </c>
      <c r="P283">
        <v>1352.028</v>
      </c>
      <c r="Q283">
        <v>0.38</v>
      </c>
    </row>
    <row r="284" spans="1:17">
      <c r="A284" t="s">
        <v>45</v>
      </c>
      <c r="B284" t="s">
        <v>29</v>
      </c>
      <c r="C284" t="s">
        <v>19</v>
      </c>
      <c r="D284" t="s">
        <v>42</v>
      </c>
      <c r="E284">
        <v>0.11</v>
      </c>
      <c r="F284">
        <v>3075.05</v>
      </c>
      <c r="G284">
        <v>1.0706961093839</v>
      </c>
      <c r="H284">
        <v>4447</v>
      </c>
      <c r="I284">
        <v>15464</v>
      </c>
      <c r="J284">
        <v>1</v>
      </c>
      <c r="K284" t="s">
        <v>21</v>
      </c>
      <c r="L284" s="1">
        <v>44744</v>
      </c>
      <c r="M284" t="s">
        <v>77</v>
      </c>
      <c r="N284" t="s">
        <v>23</v>
      </c>
      <c r="O284">
        <v>3382.5549999999998</v>
      </c>
      <c r="P284">
        <v>307.505</v>
      </c>
      <c r="Q284">
        <v>0.69</v>
      </c>
    </row>
    <row r="285" spans="1:17">
      <c r="A285" t="s">
        <v>24</v>
      </c>
      <c r="B285" t="s">
        <v>18</v>
      </c>
      <c r="C285" t="s">
        <v>40</v>
      </c>
      <c r="D285" t="s">
        <v>42</v>
      </c>
      <c r="E285">
        <v>0.14000000000000001</v>
      </c>
      <c r="F285">
        <v>8777.74</v>
      </c>
      <c r="G285">
        <v>0.76503828850803002</v>
      </c>
      <c r="H285">
        <v>13527</v>
      </c>
      <c r="I285">
        <v>45029</v>
      </c>
      <c r="J285">
        <v>1</v>
      </c>
      <c r="K285" t="s">
        <v>37</v>
      </c>
      <c r="L285" s="1">
        <v>44750</v>
      </c>
      <c r="M285" t="s">
        <v>38</v>
      </c>
      <c r="N285" t="s">
        <v>23</v>
      </c>
      <c r="O285">
        <v>9655.5139999999992</v>
      </c>
      <c r="P285">
        <v>877.77400000000102</v>
      </c>
      <c r="Q285">
        <v>0.65</v>
      </c>
    </row>
    <row r="286" spans="1:17">
      <c r="A286" t="s">
        <v>67</v>
      </c>
      <c r="B286" t="s">
        <v>25</v>
      </c>
      <c r="C286" t="s">
        <v>40</v>
      </c>
      <c r="D286" t="s">
        <v>36</v>
      </c>
      <c r="E286">
        <v>0.1</v>
      </c>
      <c r="F286">
        <v>10794.47</v>
      </c>
      <c r="G286">
        <v>7.46</v>
      </c>
      <c r="H286">
        <v>28514</v>
      </c>
      <c r="I286">
        <v>85978</v>
      </c>
      <c r="J286">
        <v>10</v>
      </c>
      <c r="K286" t="s">
        <v>46</v>
      </c>
      <c r="L286" s="1">
        <v>44593</v>
      </c>
      <c r="M286" t="s">
        <v>76</v>
      </c>
      <c r="N286" t="s">
        <v>60</v>
      </c>
      <c r="O286">
        <v>11873.916999999999</v>
      </c>
      <c r="P286">
        <v>1079.4469999999999</v>
      </c>
      <c r="Q286">
        <v>0.38</v>
      </c>
    </row>
    <row r="287" spans="1:17">
      <c r="A287" t="s">
        <v>39</v>
      </c>
      <c r="B287" t="s">
        <v>34</v>
      </c>
      <c r="C287" t="s">
        <v>19</v>
      </c>
      <c r="D287" t="s">
        <v>36</v>
      </c>
      <c r="E287">
        <v>0.03</v>
      </c>
      <c r="F287">
        <v>1846.37</v>
      </c>
      <c r="G287">
        <v>1.27</v>
      </c>
      <c r="H287">
        <v>4539</v>
      </c>
      <c r="I287">
        <v>14966</v>
      </c>
      <c r="J287">
        <v>5</v>
      </c>
      <c r="K287" t="s">
        <v>51</v>
      </c>
      <c r="L287" s="1">
        <v>44750</v>
      </c>
      <c r="M287" t="s">
        <v>52</v>
      </c>
      <c r="N287" t="s">
        <v>23</v>
      </c>
      <c r="O287">
        <v>2031.0070000000001</v>
      </c>
      <c r="P287">
        <v>184.637</v>
      </c>
      <c r="Q287">
        <v>0.41</v>
      </c>
    </row>
    <row r="288" spans="1:17">
      <c r="A288" t="s">
        <v>39</v>
      </c>
      <c r="B288" t="s">
        <v>34</v>
      </c>
      <c r="C288" t="s">
        <v>40</v>
      </c>
      <c r="D288" t="s">
        <v>42</v>
      </c>
      <c r="E288">
        <v>0.04</v>
      </c>
      <c r="F288">
        <v>10374.620000000001</v>
      </c>
      <c r="G288">
        <v>1.1028706168445199</v>
      </c>
      <c r="H288">
        <v>16075</v>
      </c>
      <c r="I288">
        <v>53325</v>
      </c>
      <c r="J288">
        <v>1</v>
      </c>
      <c r="K288" t="s">
        <v>53</v>
      </c>
      <c r="L288" s="1">
        <v>44805</v>
      </c>
      <c r="M288" t="s">
        <v>78</v>
      </c>
      <c r="N288" t="s">
        <v>65</v>
      </c>
      <c r="O288">
        <v>11412.082</v>
      </c>
      <c r="P288">
        <v>1037.462</v>
      </c>
      <c r="Q288">
        <v>0.65</v>
      </c>
    </row>
    <row r="289" spans="1:17">
      <c r="A289" t="s">
        <v>17</v>
      </c>
      <c r="B289" t="s">
        <v>25</v>
      </c>
      <c r="C289" t="s">
        <v>30</v>
      </c>
      <c r="D289" t="s">
        <v>42</v>
      </c>
      <c r="E289">
        <v>0.05</v>
      </c>
      <c r="F289">
        <v>4293.1899999999996</v>
      </c>
      <c r="G289">
        <v>0.504067283549683</v>
      </c>
      <c r="H289">
        <v>6371</v>
      </c>
      <c r="I289">
        <v>21726</v>
      </c>
      <c r="J289">
        <v>1</v>
      </c>
      <c r="K289" t="s">
        <v>46</v>
      </c>
      <c r="L289" s="1">
        <v>44894</v>
      </c>
      <c r="M289" t="s">
        <v>96</v>
      </c>
      <c r="N289" t="s">
        <v>41</v>
      </c>
      <c r="O289">
        <v>4722.509</v>
      </c>
      <c r="P289">
        <v>429.31900000000002</v>
      </c>
      <c r="Q289">
        <v>0.67</v>
      </c>
    </row>
    <row r="290" spans="1:17">
      <c r="A290" t="s">
        <v>39</v>
      </c>
      <c r="B290" t="s">
        <v>18</v>
      </c>
      <c r="C290" t="s">
        <v>40</v>
      </c>
      <c r="D290" t="s">
        <v>36</v>
      </c>
      <c r="E290">
        <v>7.0000000000000007E-2</v>
      </c>
      <c r="F290">
        <v>8372.68</v>
      </c>
      <c r="G290">
        <v>5.46</v>
      </c>
      <c r="H290">
        <v>21933</v>
      </c>
      <c r="I290">
        <v>66487</v>
      </c>
      <c r="J290">
        <v>7</v>
      </c>
      <c r="K290" t="s">
        <v>37</v>
      </c>
      <c r="L290" s="1">
        <v>44696</v>
      </c>
      <c r="M290" t="s">
        <v>74</v>
      </c>
      <c r="N290" t="s">
        <v>44</v>
      </c>
      <c r="O290">
        <v>9209.9480000000003</v>
      </c>
      <c r="P290">
        <v>837.26800000000003</v>
      </c>
      <c r="Q290">
        <v>0.38</v>
      </c>
    </row>
    <row r="291" spans="1:17">
      <c r="A291" t="s">
        <v>33</v>
      </c>
      <c r="B291" t="s">
        <v>34</v>
      </c>
      <c r="C291" t="s">
        <v>40</v>
      </c>
      <c r="D291" t="s">
        <v>36</v>
      </c>
      <c r="E291">
        <v>0.14000000000000001</v>
      </c>
      <c r="F291">
        <v>10770.8</v>
      </c>
      <c r="G291">
        <v>0.28000000000000003</v>
      </c>
      <c r="H291">
        <v>28450</v>
      </c>
      <c r="I291">
        <v>85789</v>
      </c>
      <c r="J291">
        <v>1</v>
      </c>
      <c r="K291" t="s">
        <v>53</v>
      </c>
      <c r="L291" s="1">
        <v>44795</v>
      </c>
      <c r="M291" t="s">
        <v>104</v>
      </c>
      <c r="N291" t="s">
        <v>32</v>
      </c>
      <c r="O291">
        <v>11847.88</v>
      </c>
      <c r="P291">
        <v>1077.08</v>
      </c>
      <c r="Q291">
        <v>0.38</v>
      </c>
    </row>
    <row r="292" spans="1:17">
      <c r="A292" t="s">
        <v>39</v>
      </c>
      <c r="B292" t="s">
        <v>29</v>
      </c>
      <c r="C292" t="s">
        <v>19</v>
      </c>
      <c r="D292" t="s">
        <v>50</v>
      </c>
      <c r="E292">
        <v>0.11</v>
      </c>
      <c r="F292">
        <v>1983.26</v>
      </c>
      <c r="G292">
        <v>1.91</v>
      </c>
      <c r="H292">
        <v>4863</v>
      </c>
      <c r="I292">
        <v>15925</v>
      </c>
      <c r="J292">
        <v>5</v>
      </c>
      <c r="K292" t="s">
        <v>51</v>
      </c>
      <c r="L292" s="1">
        <v>44823</v>
      </c>
      <c r="M292" t="s">
        <v>92</v>
      </c>
      <c r="N292" t="s">
        <v>65</v>
      </c>
      <c r="O292">
        <v>2181.5859999999998</v>
      </c>
      <c r="P292">
        <v>198.32599999999999</v>
      </c>
      <c r="Q292">
        <v>0.41</v>
      </c>
    </row>
    <row r="293" spans="1:17">
      <c r="A293" t="s">
        <v>49</v>
      </c>
      <c r="B293" t="s">
        <v>34</v>
      </c>
      <c r="C293" t="s">
        <v>19</v>
      </c>
      <c r="D293" t="s">
        <v>42</v>
      </c>
      <c r="E293">
        <v>0.1</v>
      </c>
      <c r="F293">
        <v>671.05</v>
      </c>
      <c r="G293">
        <v>0.95808533327173895</v>
      </c>
      <c r="H293">
        <v>1366</v>
      </c>
      <c r="I293">
        <v>5429</v>
      </c>
      <c r="J293">
        <v>1</v>
      </c>
      <c r="K293" t="s">
        <v>51</v>
      </c>
      <c r="L293" s="1">
        <v>44906</v>
      </c>
      <c r="M293" t="s">
        <v>75</v>
      </c>
      <c r="N293" t="s">
        <v>63</v>
      </c>
      <c r="O293">
        <v>738.15499999999997</v>
      </c>
      <c r="P293">
        <v>67.105000000000004</v>
      </c>
      <c r="Q293">
        <v>0.49</v>
      </c>
    </row>
    <row r="294" spans="1:17">
      <c r="A294" t="s">
        <v>28</v>
      </c>
      <c r="B294" t="s">
        <v>34</v>
      </c>
      <c r="C294" t="s">
        <v>40</v>
      </c>
      <c r="D294" t="s">
        <v>20</v>
      </c>
      <c r="E294">
        <v>0.02</v>
      </c>
      <c r="F294">
        <v>10458.469999999999</v>
      </c>
      <c r="G294">
        <v>4.4000000000000004</v>
      </c>
      <c r="H294">
        <v>27601</v>
      </c>
      <c r="I294">
        <v>83274</v>
      </c>
      <c r="J294">
        <v>1</v>
      </c>
      <c r="K294" t="s">
        <v>51</v>
      </c>
      <c r="L294" s="1">
        <v>44806</v>
      </c>
      <c r="M294" t="s">
        <v>75</v>
      </c>
      <c r="N294" t="s">
        <v>65</v>
      </c>
      <c r="O294">
        <v>11504.316999999999</v>
      </c>
      <c r="P294">
        <v>1045.847</v>
      </c>
      <c r="Q294">
        <v>0.38</v>
      </c>
    </row>
    <row r="295" spans="1:17">
      <c r="A295" t="s">
        <v>55</v>
      </c>
      <c r="B295" t="s">
        <v>25</v>
      </c>
      <c r="C295" t="s">
        <v>35</v>
      </c>
      <c r="D295" t="s">
        <v>20</v>
      </c>
      <c r="E295">
        <v>7.0000000000000007E-2</v>
      </c>
      <c r="F295">
        <v>14806.38</v>
      </c>
      <c r="G295">
        <v>2.2400000000000002</v>
      </c>
      <c r="H295">
        <v>38131</v>
      </c>
      <c r="I295">
        <v>114464</v>
      </c>
      <c r="J295">
        <v>7</v>
      </c>
      <c r="K295" t="s">
        <v>46</v>
      </c>
      <c r="L295" s="1">
        <v>44792</v>
      </c>
      <c r="M295" t="s">
        <v>76</v>
      </c>
      <c r="N295" t="s">
        <v>32</v>
      </c>
      <c r="O295">
        <v>16287.018</v>
      </c>
      <c r="P295">
        <v>1480.6379999999999</v>
      </c>
      <c r="Q295">
        <v>0.39</v>
      </c>
    </row>
    <row r="296" spans="1:17">
      <c r="A296" t="s">
        <v>67</v>
      </c>
      <c r="B296" t="s">
        <v>18</v>
      </c>
      <c r="C296" t="s">
        <v>19</v>
      </c>
      <c r="D296" t="s">
        <v>20</v>
      </c>
      <c r="E296">
        <v>0.12</v>
      </c>
      <c r="F296">
        <v>666.87</v>
      </c>
      <c r="G296">
        <v>2.12</v>
      </c>
      <c r="H296">
        <v>2319</v>
      </c>
      <c r="I296">
        <v>8389</v>
      </c>
      <c r="J296">
        <v>6</v>
      </c>
      <c r="K296" t="s">
        <v>37</v>
      </c>
      <c r="L296" s="1">
        <v>44881</v>
      </c>
      <c r="M296" t="s">
        <v>99</v>
      </c>
      <c r="N296" t="s">
        <v>41</v>
      </c>
      <c r="O296">
        <v>733.55700000000002</v>
      </c>
      <c r="P296">
        <v>66.686999999999998</v>
      </c>
      <c r="Q296">
        <v>0.28999999999999998</v>
      </c>
    </row>
    <row r="297" spans="1:17">
      <c r="A297" t="s">
        <v>33</v>
      </c>
      <c r="B297" t="s">
        <v>29</v>
      </c>
      <c r="C297" t="s">
        <v>40</v>
      </c>
      <c r="D297" t="s">
        <v>50</v>
      </c>
      <c r="E297">
        <v>0.06</v>
      </c>
      <c r="F297">
        <v>10122.5</v>
      </c>
      <c r="G297">
        <v>3.73</v>
      </c>
      <c r="H297">
        <v>26690</v>
      </c>
      <c r="I297">
        <v>80578</v>
      </c>
      <c r="J297">
        <v>9</v>
      </c>
      <c r="K297" t="s">
        <v>21</v>
      </c>
      <c r="L297" s="1">
        <v>44734</v>
      </c>
      <c r="M297" t="s">
        <v>103</v>
      </c>
      <c r="N297" t="s">
        <v>69</v>
      </c>
      <c r="O297">
        <v>11134.75</v>
      </c>
      <c r="P297">
        <v>1012.25</v>
      </c>
      <c r="Q297">
        <v>0.38</v>
      </c>
    </row>
    <row r="298" spans="1:17">
      <c r="A298" t="s">
        <v>45</v>
      </c>
      <c r="B298" t="s">
        <v>25</v>
      </c>
      <c r="C298" t="s">
        <v>40</v>
      </c>
      <c r="D298" t="s">
        <v>20</v>
      </c>
      <c r="E298">
        <v>0.06</v>
      </c>
      <c r="F298">
        <v>8524.24</v>
      </c>
      <c r="G298">
        <v>0.57999999999999996</v>
      </c>
      <c r="H298">
        <v>22355</v>
      </c>
      <c r="I298">
        <v>67735</v>
      </c>
      <c r="J298">
        <v>2</v>
      </c>
      <c r="K298" t="s">
        <v>53</v>
      </c>
      <c r="L298" s="1">
        <v>44831</v>
      </c>
      <c r="M298" t="s">
        <v>82</v>
      </c>
      <c r="N298" t="s">
        <v>65</v>
      </c>
      <c r="O298">
        <v>9376.6640000000007</v>
      </c>
      <c r="P298">
        <v>852.42399999999998</v>
      </c>
      <c r="Q298">
        <v>0.38</v>
      </c>
    </row>
    <row r="299" spans="1:17">
      <c r="A299" t="s">
        <v>45</v>
      </c>
      <c r="B299" t="s">
        <v>29</v>
      </c>
      <c r="C299" t="s">
        <v>30</v>
      </c>
      <c r="D299" t="s">
        <v>20</v>
      </c>
      <c r="E299">
        <v>0.03</v>
      </c>
      <c r="F299">
        <v>4428.46</v>
      </c>
      <c r="G299">
        <v>4.58</v>
      </c>
      <c r="H299">
        <v>11214</v>
      </c>
      <c r="I299">
        <v>34737</v>
      </c>
      <c r="J299">
        <v>8</v>
      </c>
      <c r="K299" t="s">
        <v>46</v>
      </c>
      <c r="L299" s="1">
        <v>44824</v>
      </c>
      <c r="M299" t="s">
        <v>86</v>
      </c>
      <c r="N299" t="s">
        <v>65</v>
      </c>
      <c r="O299">
        <v>4871.3059999999996</v>
      </c>
      <c r="P299">
        <v>442.846</v>
      </c>
      <c r="Q299">
        <v>0.39</v>
      </c>
    </row>
    <row r="300" spans="1:17">
      <c r="A300" t="s">
        <v>39</v>
      </c>
      <c r="B300" t="s">
        <v>18</v>
      </c>
      <c r="C300" t="s">
        <v>30</v>
      </c>
      <c r="D300" t="s">
        <v>50</v>
      </c>
      <c r="E300">
        <v>0.13</v>
      </c>
      <c r="F300">
        <v>7750.29</v>
      </c>
      <c r="G300">
        <v>4.08</v>
      </c>
      <c r="H300">
        <v>20232</v>
      </c>
      <c r="I300">
        <v>61448</v>
      </c>
      <c r="J300">
        <v>2</v>
      </c>
      <c r="K300" t="s">
        <v>46</v>
      </c>
      <c r="L300" s="1">
        <v>44599</v>
      </c>
      <c r="M300" t="s">
        <v>93</v>
      </c>
      <c r="N300" t="s">
        <v>60</v>
      </c>
      <c r="O300">
        <v>8525.3189999999995</v>
      </c>
      <c r="P300">
        <v>775.02900000000102</v>
      </c>
      <c r="Q300">
        <v>0.38</v>
      </c>
    </row>
    <row r="301" spans="1:17">
      <c r="A301" t="s">
        <v>17</v>
      </c>
      <c r="B301" t="s">
        <v>34</v>
      </c>
      <c r="C301" t="s">
        <v>40</v>
      </c>
      <c r="D301" t="s">
        <v>36</v>
      </c>
      <c r="E301">
        <v>0.04</v>
      </c>
      <c r="F301">
        <v>9792.44</v>
      </c>
      <c r="G301">
        <v>0.18</v>
      </c>
      <c r="H301">
        <v>25795</v>
      </c>
      <c r="I301">
        <v>77926</v>
      </c>
      <c r="J301">
        <v>7</v>
      </c>
      <c r="K301" t="s">
        <v>21</v>
      </c>
      <c r="L301" s="1">
        <v>44883</v>
      </c>
      <c r="M301" t="s">
        <v>103</v>
      </c>
      <c r="N301" t="s">
        <v>41</v>
      </c>
      <c r="O301">
        <v>10771.683999999999</v>
      </c>
      <c r="P301">
        <v>979.24400000000003</v>
      </c>
      <c r="Q301">
        <v>0.38</v>
      </c>
    </row>
    <row r="302" spans="1:17">
      <c r="A302" t="s">
        <v>24</v>
      </c>
      <c r="B302" t="s">
        <v>25</v>
      </c>
      <c r="C302" t="s">
        <v>40</v>
      </c>
      <c r="D302" t="s">
        <v>42</v>
      </c>
      <c r="E302">
        <v>0.06</v>
      </c>
      <c r="F302">
        <v>9223.5300000000007</v>
      </c>
      <c r="G302">
        <v>0.153722646756286</v>
      </c>
      <c r="H302">
        <v>14229</v>
      </c>
      <c r="I302">
        <v>47314</v>
      </c>
      <c r="J302">
        <v>1</v>
      </c>
      <c r="K302" t="s">
        <v>51</v>
      </c>
      <c r="L302" s="1">
        <v>44854</v>
      </c>
      <c r="M302" t="s">
        <v>75</v>
      </c>
      <c r="N302" t="s">
        <v>57</v>
      </c>
      <c r="O302">
        <v>10145.883</v>
      </c>
      <c r="P302">
        <v>922.35300000000097</v>
      </c>
      <c r="Q302">
        <v>0.65</v>
      </c>
    </row>
    <row r="303" spans="1:17">
      <c r="A303" t="s">
        <v>49</v>
      </c>
      <c r="B303" t="s">
        <v>25</v>
      </c>
      <c r="C303" t="s">
        <v>30</v>
      </c>
      <c r="D303" t="s">
        <v>36</v>
      </c>
      <c r="E303">
        <v>0.02</v>
      </c>
      <c r="F303">
        <v>7617.29</v>
      </c>
      <c r="G303">
        <v>7.28</v>
      </c>
      <c r="H303">
        <v>19861</v>
      </c>
      <c r="I303">
        <v>60350</v>
      </c>
      <c r="J303">
        <v>4</v>
      </c>
      <c r="K303" t="s">
        <v>37</v>
      </c>
      <c r="L303" s="1">
        <v>44816</v>
      </c>
      <c r="M303" t="s">
        <v>99</v>
      </c>
      <c r="N303" t="s">
        <v>65</v>
      </c>
      <c r="O303">
        <v>8379.0190000000002</v>
      </c>
      <c r="P303">
        <v>761.72900000000004</v>
      </c>
      <c r="Q303">
        <v>0.38</v>
      </c>
    </row>
    <row r="304" spans="1:17">
      <c r="A304" t="s">
        <v>39</v>
      </c>
      <c r="B304" t="s">
        <v>29</v>
      </c>
      <c r="C304" t="s">
        <v>30</v>
      </c>
      <c r="D304" t="s">
        <v>50</v>
      </c>
      <c r="E304">
        <v>0.05</v>
      </c>
      <c r="F304">
        <v>6673.69</v>
      </c>
      <c r="G304">
        <v>0.03</v>
      </c>
      <c r="H304">
        <v>17305</v>
      </c>
      <c r="I304">
        <v>52778</v>
      </c>
      <c r="J304">
        <v>2</v>
      </c>
      <c r="K304" t="s">
        <v>46</v>
      </c>
      <c r="L304" s="1">
        <v>44616</v>
      </c>
      <c r="M304" t="s">
        <v>47</v>
      </c>
      <c r="N304" t="s">
        <v>60</v>
      </c>
      <c r="O304">
        <v>7341.0590000000002</v>
      </c>
      <c r="P304">
        <v>667.36900000000003</v>
      </c>
      <c r="Q304">
        <v>0.39</v>
      </c>
    </row>
    <row r="305" spans="1:17">
      <c r="A305" t="s">
        <v>24</v>
      </c>
      <c r="B305" t="s">
        <v>34</v>
      </c>
      <c r="C305" t="s">
        <v>35</v>
      </c>
      <c r="D305" t="s">
        <v>20</v>
      </c>
      <c r="E305">
        <v>0.12</v>
      </c>
      <c r="F305">
        <v>15000</v>
      </c>
      <c r="G305">
        <v>3.45</v>
      </c>
      <c r="H305">
        <v>38929</v>
      </c>
      <c r="I305">
        <v>116828</v>
      </c>
      <c r="J305">
        <v>4</v>
      </c>
      <c r="K305" t="s">
        <v>51</v>
      </c>
      <c r="L305" s="1">
        <v>44769</v>
      </c>
      <c r="M305" t="s">
        <v>72</v>
      </c>
      <c r="N305" t="s">
        <v>23</v>
      </c>
      <c r="O305">
        <v>16500</v>
      </c>
      <c r="P305">
        <v>1500</v>
      </c>
      <c r="Q305">
        <v>0.39</v>
      </c>
    </row>
    <row r="306" spans="1:17">
      <c r="A306" t="s">
        <v>55</v>
      </c>
      <c r="B306" t="s">
        <v>18</v>
      </c>
      <c r="C306" t="s">
        <v>40</v>
      </c>
      <c r="D306" t="s">
        <v>50</v>
      </c>
      <c r="E306">
        <v>0.14000000000000001</v>
      </c>
      <c r="F306">
        <v>9143.2099999999991</v>
      </c>
      <c r="G306">
        <v>4.92</v>
      </c>
      <c r="H306">
        <v>24013</v>
      </c>
      <c r="I306">
        <v>72647</v>
      </c>
      <c r="J306">
        <v>4</v>
      </c>
      <c r="K306" t="s">
        <v>51</v>
      </c>
      <c r="L306" s="1">
        <v>44797</v>
      </c>
      <c r="M306" t="s">
        <v>92</v>
      </c>
      <c r="N306" t="s">
        <v>32</v>
      </c>
      <c r="O306">
        <v>10057.530999999901</v>
      </c>
      <c r="P306">
        <v>914.320999999999</v>
      </c>
      <c r="Q306">
        <v>0.38</v>
      </c>
    </row>
    <row r="307" spans="1:17">
      <c r="A307" t="s">
        <v>33</v>
      </c>
      <c r="B307" t="s">
        <v>18</v>
      </c>
      <c r="C307" t="s">
        <v>30</v>
      </c>
      <c r="D307" t="s">
        <v>50</v>
      </c>
      <c r="E307">
        <v>0.09</v>
      </c>
      <c r="F307">
        <v>6668.76</v>
      </c>
      <c r="G307">
        <v>2.52</v>
      </c>
      <c r="H307">
        <v>17293</v>
      </c>
      <c r="I307">
        <v>52742</v>
      </c>
      <c r="J307">
        <v>4</v>
      </c>
      <c r="K307" t="s">
        <v>21</v>
      </c>
      <c r="L307" s="1">
        <v>44775</v>
      </c>
      <c r="M307" t="s">
        <v>26</v>
      </c>
      <c r="N307" t="s">
        <v>32</v>
      </c>
      <c r="O307">
        <v>7335.6360000000004</v>
      </c>
      <c r="P307">
        <v>666.87599999999998</v>
      </c>
      <c r="Q307">
        <v>0.39</v>
      </c>
    </row>
    <row r="308" spans="1:17">
      <c r="A308" t="s">
        <v>49</v>
      </c>
      <c r="B308" t="s">
        <v>25</v>
      </c>
      <c r="C308" t="s">
        <v>35</v>
      </c>
      <c r="D308" t="s">
        <v>36</v>
      </c>
      <c r="E308">
        <v>0.1</v>
      </c>
      <c r="F308">
        <v>11910.18</v>
      </c>
      <c r="G308">
        <v>7.71</v>
      </c>
      <c r="H308">
        <v>31536</v>
      </c>
      <c r="I308">
        <v>94929</v>
      </c>
      <c r="J308">
        <v>6</v>
      </c>
      <c r="K308" t="s">
        <v>51</v>
      </c>
      <c r="L308" s="1">
        <v>44601</v>
      </c>
      <c r="M308" t="s">
        <v>92</v>
      </c>
      <c r="N308" t="s">
        <v>60</v>
      </c>
      <c r="O308">
        <v>13101.198</v>
      </c>
      <c r="P308">
        <v>1191.018</v>
      </c>
      <c r="Q308">
        <v>0.38</v>
      </c>
    </row>
    <row r="309" spans="1:17">
      <c r="A309" t="s">
        <v>67</v>
      </c>
      <c r="B309" t="s">
        <v>29</v>
      </c>
      <c r="C309" t="s">
        <v>40</v>
      </c>
      <c r="D309" t="s">
        <v>50</v>
      </c>
      <c r="E309">
        <v>0.04</v>
      </c>
      <c r="F309">
        <v>8807.3799999999992</v>
      </c>
      <c r="G309">
        <v>4.1100000000000003</v>
      </c>
      <c r="H309">
        <v>23110</v>
      </c>
      <c r="I309">
        <v>69972</v>
      </c>
      <c r="J309">
        <v>5</v>
      </c>
      <c r="K309" t="s">
        <v>21</v>
      </c>
      <c r="L309" s="1">
        <v>44736</v>
      </c>
      <c r="M309" t="s">
        <v>26</v>
      </c>
      <c r="N309" t="s">
        <v>69</v>
      </c>
      <c r="O309">
        <v>9688.1180000000004</v>
      </c>
      <c r="P309">
        <v>880.73800000000097</v>
      </c>
      <c r="Q309">
        <v>0.38</v>
      </c>
    </row>
    <row r="310" spans="1:17">
      <c r="A310" t="s">
        <v>24</v>
      </c>
      <c r="B310" t="s">
        <v>29</v>
      </c>
      <c r="C310" t="s">
        <v>40</v>
      </c>
      <c r="D310" t="s">
        <v>50</v>
      </c>
      <c r="E310">
        <v>0.03</v>
      </c>
      <c r="F310">
        <v>8311.86</v>
      </c>
      <c r="G310">
        <v>0.23</v>
      </c>
      <c r="H310">
        <v>21773</v>
      </c>
      <c r="I310">
        <v>66014</v>
      </c>
      <c r="J310">
        <v>4</v>
      </c>
      <c r="K310" t="s">
        <v>51</v>
      </c>
      <c r="L310" s="1">
        <v>44778</v>
      </c>
      <c r="M310" t="s">
        <v>101</v>
      </c>
      <c r="N310" t="s">
        <v>32</v>
      </c>
      <c r="O310">
        <v>9143.0460000000003</v>
      </c>
      <c r="P310">
        <v>831.18600000000094</v>
      </c>
      <c r="Q310">
        <v>0.38</v>
      </c>
    </row>
    <row r="311" spans="1:17">
      <c r="A311" t="s">
        <v>49</v>
      </c>
      <c r="B311" t="s">
        <v>34</v>
      </c>
      <c r="C311" t="s">
        <v>30</v>
      </c>
      <c r="D311" t="s">
        <v>42</v>
      </c>
      <c r="E311">
        <v>0.14000000000000001</v>
      </c>
      <c r="F311">
        <v>4141.2299999999996</v>
      </c>
      <c r="G311">
        <v>0.134060447752575</v>
      </c>
      <c r="H311">
        <v>6124</v>
      </c>
      <c r="I311">
        <v>20924</v>
      </c>
      <c r="J311">
        <v>1</v>
      </c>
      <c r="K311" t="s">
        <v>46</v>
      </c>
      <c r="L311" s="1">
        <v>44655</v>
      </c>
      <c r="M311" t="s">
        <v>86</v>
      </c>
      <c r="N311" t="s">
        <v>73</v>
      </c>
      <c r="O311">
        <v>4555.3530000000001</v>
      </c>
      <c r="P311">
        <v>414.12299999999999</v>
      </c>
      <c r="Q311">
        <v>0.68</v>
      </c>
    </row>
    <row r="312" spans="1:17">
      <c r="A312" t="s">
        <v>24</v>
      </c>
      <c r="B312" t="s">
        <v>34</v>
      </c>
      <c r="C312" t="s">
        <v>30</v>
      </c>
      <c r="D312" t="s">
        <v>42</v>
      </c>
      <c r="E312">
        <v>0.13</v>
      </c>
      <c r="F312">
        <v>4845.82</v>
      </c>
      <c r="G312">
        <v>0.72571389050060797</v>
      </c>
      <c r="H312">
        <v>7255</v>
      </c>
      <c r="I312">
        <v>24607</v>
      </c>
      <c r="J312">
        <v>1</v>
      </c>
      <c r="K312" t="s">
        <v>46</v>
      </c>
      <c r="L312" s="1">
        <v>44742</v>
      </c>
      <c r="M312" t="s">
        <v>86</v>
      </c>
      <c r="N312" t="s">
        <v>69</v>
      </c>
      <c r="O312">
        <v>5330.402</v>
      </c>
      <c r="P312">
        <v>484.58199999999999</v>
      </c>
      <c r="Q312">
        <v>0.67</v>
      </c>
    </row>
    <row r="313" spans="1:17">
      <c r="A313" t="s">
        <v>55</v>
      </c>
      <c r="B313" t="s">
        <v>29</v>
      </c>
      <c r="C313" t="s">
        <v>19</v>
      </c>
      <c r="D313" t="s">
        <v>20</v>
      </c>
      <c r="E313">
        <v>0.02</v>
      </c>
      <c r="F313">
        <v>2511.5500000000002</v>
      </c>
      <c r="G313">
        <v>6.86</v>
      </c>
      <c r="H313">
        <v>6140</v>
      </c>
      <c r="I313">
        <v>19707</v>
      </c>
      <c r="J313">
        <v>9</v>
      </c>
      <c r="K313" t="s">
        <v>46</v>
      </c>
      <c r="L313" s="1">
        <v>44728</v>
      </c>
      <c r="M313" t="s">
        <v>70</v>
      </c>
      <c r="N313" t="s">
        <v>69</v>
      </c>
      <c r="O313">
        <v>2762.7049999999999</v>
      </c>
      <c r="P313">
        <v>251.155</v>
      </c>
      <c r="Q313">
        <v>0.41</v>
      </c>
    </row>
    <row r="314" spans="1:17">
      <c r="A314" t="s">
        <v>67</v>
      </c>
      <c r="B314" t="s">
        <v>18</v>
      </c>
      <c r="C314" t="s">
        <v>19</v>
      </c>
      <c r="D314" t="s">
        <v>20</v>
      </c>
      <c r="E314">
        <v>7.0000000000000007E-2</v>
      </c>
      <c r="F314">
        <v>500</v>
      </c>
      <c r="G314">
        <v>5.31</v>
      </c>
      <c r="H314">
        <v>1629</v>
      </c>
      <c r="I314">
        <v>6346</v>
      </c>
      <c r="J314">
        <v>1</v>
      </c>
      <c r="K314" t="s">
        <v>53</v>
      </c>
      <c r="L314" s="1">
        <v>44697</v>
      </c>
      <c r="M314" t="s">
        <v>102</v>
      </c>
      <c r="N314" t="s">
        <v>44</v>
      </c>
      <c r="O314">
        <v>550</v>
      </c>
      <c r="P314">
        <v>50</v>
      </c>
      <c r="Q314">
        <v>0.31</v>
      </c>
    </row>
    <row r="315" spans="1:17">
      <c r="A315" t="s">
        <v>67</v>
      </c>
      <c r="B315" t="s">
        <v>25</v>
      </c>
      <c r="C315" t="s">
        <v>19</v>
      </c>
      <c r="D315" t="s">
        <v>36</v>
      </c>
      <c r="E315">
        <v>0.02</v>
      </c>
      <c r="F315">
        <v>654.64</v>
      </c>
      <c r="G315">
        <v>3.96</v>
      </c>
      <c r="H315">
        <v>2299</v>
      </c>
      <c r="I315">
        <v>8328</v>
      </c>
      <c r="J315">
        <v>2</v>
      </c>
      <c r="K315" t="s">
        <v>51</v>
      </c>
      <c r="L315" s="1">
        <v>44731</v>
      </c>
      <c r="M315" t="s">
        <v>101</v>
      </c>
      <c r="N315" t="s">
        <v>69</v>
      </c>
      <c r="O315">
        <v>720.10400000000004</v>
      </c>
      <c r="P315">
        <v>65.463999999999999</v>
      </c>
      <c r="Q315">
        <v>0.28000000000000003</v>
      </c>
    </row>
    <row r="316" spans="1:17">
      <c r="A316" t="s">
        <v>49</v>
      </c>
      <c r="B316" t="s">
        <v>34</v>
      </c>
      <c r="C316" t="s">
        <v>35</v>
      </c>
      <c r="D316" t="s">
        <v>36</v>
      </c>
      <c r="E316">
        <v>0.11</v>
      </c>
      <c r="F316">
        <v>12499.7</v>
      </c>
      <c r="G316">
        <v>3.2</v>
      </c>
      <c r="H316">
        <v>33082</v>
      </c>
      <c r="I316">
        <v>99511</v>
      </c>
      <c r="J316">
        <v>5</v>
      </c>
      <c r="K316" t="s">
        <v>21</v>
      </c>
      <c r="L316" s="1">
        <v>44794</v>
      </c>
      <c r="M316" t="s">
        <v>80</v>
      </c>
      <c r="N316" t="s">
        <v>32</v>
      </c>
      <c r="O316">
        <v>13749.67</v>
      </c>
      <c r="P316">
        <v>1249.97</v>
      </c>
      <c r="Q316">
        <v>0.38</v>
      </c>
    </row>
    <row r="317" spans="1:17">
      <c r="A317" t="s">
        <v>28</v>
      </c>
      <c r="B317" t="s">
        <v>25</v>
      </c>
      <c r="C317" t="s">
        <v>30</v>
      </c>
      <c r="D317" t="s">
        <v>36</v>
      </c>
      <c r="E317">
        <v>0.04</v>
      </c>
      <c r="F317">
        <v>5151.24</v>
      </c>
      <c r="G317">
        <v>4.9400000000000004</v>
      </c>
      <c r="H317">
        <v>13195</v>
      </c>
      <c r="I317">
        <v>40605</v>
      </c>
      <c r="J317">
        <v>5</v>
      </c>
      <c r="K317" t="s">
        <v>21</v>
      </c>
      <c r="L317" s="1">
        <v>44675</v>
      </c>
      <c r="M317" t="s">
        <v>26</v>
      </c>
      <c r="N317" t="s">
        <v>73</v>
      </c>
      <c r="O317">
        <v>5666.3639999999996</v>
      </c>
      <c r="P317">
        <v>515.12400000000002</v>
      </c>
      <c r="Q317">
        <v>0.39</v>
      </c>
    </row>
    <row r="318" spans="1:17">
      <c r="A318" t="s">
        <v>33</v>
      </c>
      <c r="B318" t="s">
        <v>34</v>
      </c>
      <c r="C318" t="s">
        <v>40</v>
      </c>
      <c r="D318" t="s">
        <v>20</v>
      </c>
      <c r="E318">
        <v>0.13</v>
      </c>
      <c r="F318">
        <v>9930.89</v>
      </c>
      <c r="G318">
        <v>7.38</v>
      </c>
      <c r="H318">
        <v>26161</v>
      </c>
      <c r="I318">
        <v>79010</v>
      </c>
      <c r="J318">
        <v>9</v>
      </c>
      <c r="K318" t="s">
        <v>21</v>
      </c>
      <c r="L318" s="1">
        <v>44710</v>
      </c>
      <c r="M318" t="s">
        <v>48</v>
      </c>
      <c r="N318" t="s">
        <v>44</v>
      </c>
      <c r="O318">
        <v>10923.978999999999</v>
      </c>
      <c r="P318">
        <v>993.08899999999903</v>
      </c>
      <c r="Q318">
        <v>0.38</v>
      </c>
    </row>
    <row r="319" spans="1:17">
      <c r="A319" t="s">
        <v>33</v>
      </c>
      <c r="B319" t="s">
        <v>18</v>
      </c>
      <c r="C319" t="s">
        <v>35</v>
      </c>
      <c r="D319" t="s">
        <v>42</v>
      </c>
      <c r="E319">
        <v>0.14000000000000001</v>
      </c>
      <c r="F319">
        <v>14615.63</v>
      </c>
      <c r="G319">
        <v>1.1475574327620399</v>
      </c>
      <c r="H319">
        <v>22219</v>
      </c>
      <c r="I319">
        <v>73330</v>
      </c>
      <c r="J319">
        <v>1</v>
      </c>
      <c r="K319" t="s">
        <v>51</v>
      </c>
      <c r="L319" s="1">
        <v>44888</v>
      </c>
      <c r="M319" t="s">
        <v>62</v>
      </c>
      <c r="N319" t="s">
        <v>41</v>
      </c>
      <c r="O319">
        <v>16077.192999999999</v>
      </c>
      <c r="P319">
        <v>1461.5630000000001</v>
      </c>
      <c r="Q319">
        <v>0.66</v>
      </c>
    </row>
    <row r="320" spans="1:17">
      <c r="A320" t="s">
        <v>24</v>
      </c>
      <c r="B320" t="s">
        <v>18</v>
      </c>
      <c r="C320" t="s">
        <v>19</v>
      </c>
      <c r="D320" t="s">
        <v>42</v>
      </c>
      <c r="E320">
        <v>0.03</v>
      </c>
      <c r="F320">
        <v>3859.46</v>
      </c>
      <c r="G320">
        <v>1.3692040397129699</v>
      </c>
      <c r="H320">
        <v>5670</v>
      </c>
      <c r="I320">
        <v>19444</v>
      </c>
      <c r="J320">
        <v>1</v>
      </c>
      <c r="K320" t="s">
        <v>46</v>
      </c>
      <c r="L320" s="1">
        <v>44598</v>
      </c>
      <c r="M320" t="s">
        <v>70</v>
      </c>
      <c r="N320" t="s">
        <v>60</v>
      </c>
      <c r="O320">
        <v>4245.4059999999999</v>
      </c>
      <c r="P320">
        <v>385.945999999999</v>
      </c>
      <c r="Q320">
        <v>0.68</v>
      </c>
    </row>
    <row r="321" spans="1:17">
      <c r="A321" t="s">
        <v>39</v>
      </c>
      <c r="B321" t="s">
        <v>25</v>
      </c>
      <c r="C321" t="s">
        <v>35</v>
      </c>
      <c r="D321" t="s">
        <v>36</v>
      </c>
      <c r="E321">
        <v>0.09</v>
      </c>
      <c r="F321">
        <v>12019.87</v>
      </c>
      <c r="G321">
        <v>5.49</v>
      </c>
      <c r="H321">
        <v>31821</v>
      </c>
      <c r="I321">
        <v>95775</v>
      </c>
      <c r="J321">
        <v>7</v>
      </c>
      <c r="K321" t="s">
        <v>37</v>
      </c>
      <c r="L321" s="1">
        <v>44811</v>
      </c>
      <c r="M321" t="s">
        <v>100</v>
      </c>
      <c r="N321" t="s">
        <v>65</v>
      </c>
      <c r="O321">
        <v>13221.857</v>
      </c>
      <c r="P321">
        <v>1201.9870000000001</v>
      </c>
      <c r="Q321">
        <v>0.38</v>
      </c>
    </row>
    <row r="322" spans="1:17">
      <c r="A322" t="s">
        <v>33</v>
      </c>
      <c r="B322" t="s">
        <v>29</v>
      </c>
      <c r="C322" t="s">
        <v>35</v>
      </c>
      <c r="D322" t="s">
        <v>20</v>
      </c>
      <c r="E322">
        <v>0.13</v>
      </c>
      <c r="F322">
        <v>13245.66</v>
      </c>
      <c r="G322">
        <v>0.54</v>
      </c>
      <c r="H322">
        <v>34982</v>
      </c>
      <c r="I322">
        <v>105138</v>
      </c>
      <c r="J322">
        <v>3</v>
      </c>
      <c r="K322" t="s">
        <v>51</v>
      </c>
      <c r="L322" s="1">
        <v>44613</v>
      </c>
      <c r="M322" t="s">
        <v>97</v>
      </c>
      <c r="N322" t="s">
        <v>60</v>
      </c>
      <c r="O322">
        <v>14570.226000000001</v>
      </c>
      <c r="P322">
        <v>1324.566</v>
      </c>
      <c r="Q322">
        <v>0.38</v>
      </c>
    </row>
    <row r="323" spans="1:17">
      <c r="A323" t="s">
        <v>24</v>
      </c>
      <c r="B323" t="s">
        <v>34</v>
      </c>
      <c r="C323" t="s">
        <v>40</v>
      </c>
      <c r="D323" t="s">
        <v>36</v>
      </c>
      <c r="E323">
        <v>7.0000000000000007E-2</v>
      </c>
      <c r="F323">
        <v>7773.9</v>
      </c>
      <c r="G323">
        <v>6.1</v>
      </c>
      <c r="H323">
        <v>20299</v>
      </c>
      <c r="I323">
        <v>61646</v>
      </c>
      <c r="J323">
        <v>8</v>
      </c>
      <c r="K323" t="s">
        <v>37</v>
      </c>
      <c r="L323" s="1">
        <v>44858</v>
      </c>
      <c r="M323" t="s">
        <v>94</v>
      </c>
      <c r="N323" t="s">
        <v>57</v>
      </c>
      <c r="O323">
        <v>8551.2900000000009</v>
      </c>
      <c r="P323">
        <v>777.39000000000101</v>
      </c>
      <c r="Q323">
        <v>0.38</v>
      </c>
    </row>
    <row r="324" spans="1:17">
      <c r="A324" t="s">
        <v>24</v>
      </c>
      <c r="B324" t="s">
        <v>29</v>
      </c>
      <c r="C324" t="s">
        <v>40</v>
      </c>
      <c r="D324" t="s">
        <v>50</v>
      </c>
      <c r="E324">
        <v>7.0000000000000007E-2</v>
      </c>
      <c r="F324">
        <v>9334.08</v>
      </c>
      <c r="G324">
        <v>1.77</v>
      </c>
      <c r="H324">
        <v>24521</v>
      </c>
      <c r="I324">
        <v>74153</v>
      </c>
      <c r="J324">
        <v>5</v>
      </c>
      <c r="K324" t="s">
        <v>37</v>
      </c>
      <c r="L324" s="1">
        <v>44911</v>
      </c>
      <c r="M324" t="s">
        <v>94</v>
      </c>
      <c r="N324" t="s">
        <v>63</v>
      </c>
      <c r="O324">
        <v>10267.487999999999</v>
      </c>
      <c r="P324">
        <v>933.40800000000104</v>
      </c>
      <c r="Q324">
        <v>0.38</v>
      </c>
    </row>
    <row r="325" spans="1:17">
      <c r="A325" t="s">
        <v>33</v>
      </c>
      <c r="B325" t="s">
        <v>25</v>
      </c>
      <c r="C325" t="s">
        <v>40</v>
      </c>
      <c r="D325" t="s">
        <v>50</v>
      </c>
      <c r="E325">
        <v>0.09</v>
      </c>
      <c r="F325">
        <v>11356.14</v>
      </c>
      <c r="G325">
        <v>4.21</v>
      </c>
      <c r="H325">
        <v>30046</v>
      </c>
      <c r="I325">
        <v>90518</v>
      </c>
      <c r="J325">
        <v>4</v>
      </c>
      <c r="K325" t="s">
        <v>53</v>
      </c>
      <c r="L325" s="1">
        <v>44803</v>
      </c>
      <c r="M325" t="s">
        <v>58</v>
      </c>
      <c r="N325" t="s">
        <v>32</v>
      </c>
      <c r="O325">
        <v>12491.754000000001</v>
      </c>
      <c r="P325">
        <v>1135.614</v>
      </c>
      <c r="Q325">
        <v>0.38</v>
      </c>
    </row>
    <row r="326" spans="1:17">
      <c r="A326" t="s">
        <v>49</v>
      </c>
      <c r="B326" t="s">
        <v>29</v>
      </c>
      <c r="C326" t="s">
        <v>40</v>
      </c>
      <c r="D326" t="s">
        <v>50</v>
      </c>
      <c r="E326">
        <v>0.11</v>
      </c>
      <c r="F326">
        <v>8787</v>
      </c>
      <c r="G326">
        <v>4.46</v>
      </c>
      <c r="H326">
        <v>23058</v>
      </c>
      <c r="I326">
        <v>69819</v>
      </c>
      <c r="J326">
        <v>10</v>
      </c>
      <c r="K326" t="s">
        <v>51</v>
      </c>
      <c r="L326" s="1">
        <v>44688</v>
      </c>
      <c r="M326" t="s">
        <v>101</v>
      </c>
      <c r="N326" t="s">
        <v>44</v>
      </c>
      <c r="O326">
        <v>9665.7000000000007</v>
      </c>
      <c r="P326">
        <v>878.7</v>
      </c>
      <c r="Q326">
        <v>0.38</v>
      </c>
    </row>
    <row r="327" spans="1:17">
      <c r="A327" t="s">
        <v>67</v>
      </c>
      <c r="B327" t="s">
        <v>29</v>
      </c>
      <c r="C327" t="s">
        <v>30</v>
      </c>
      <c r="D327" t="s">
        <v>42</v>
      </c>
      <c r="E327">
        <v>0.04</v>
      </c>
      <c r="F327">
        <v>7293.88</v>
      </c>
      <c r="G327">
        <v>0.46474288554226101</v>
      </c>
      <c r="H327">
        <v>11153</v>
      </c>
      <c r="I327">
        <v>37300</v>
      </c>
      <c r="J327">
        <v>1</v>
      </c>
      <c r="K327" t="s">
        <v>46</v>
      </c>
      <c r="L327" s="1">
        <v>44646</v>
      </c>
      <c r="M327" t="s">
        <v>76</v>
      </c>
      <c r="N327" t="s">
        <v>81</v>
      </c>
      <c r="O327">
        <v>8023.268</v>
      </c>
      <c r="P327">
        <v>729.38800000000003</v>
      </c>
      <c r="Q327">
        <v>0.65</v>
      </c>
    </row>
    <row r="328" spans="1:17">
      <c r="A328" t="s">
        <v>24</v>
      </c>
      <c r="B328" t="s">
        <v>29</v>
      </c>
      <c r="C328" t="s">
        <v>40</v>
      </c>
      <c r="D328" t="s">
        <v>36</v>
      </c>
      <c r="E328">
        <v>0.01</v>
      </c>
      <c r="F328">
        <v>7995.16</v>
      </c>
      <c r="G328">
        <v>4.18</v>
      </c>
      <c r="H328">
        <v>20900</v>
      </c>
      <c r="I328">
        <v>63426</v>
      </c>
      <c r="J328">
        <v>9</v>
      </c>
      <c r="K328" t="s">
        <v>21</v>
      </c>
      <c r="L328" s="1">
        <v>44570</v>
      </c>
      <c r="M328" t="s">
        <v>22</v>
      </c>
      <c r="N328" t="s">
        <v>27</v>
      </c>
      <c r="O328">
        <v>8794.6759999999995</v>
      </c>
      <c r="P328">
        <v>799.51600000000099</v>
      </c>
      <c r="Q328">
        <v>0.38</v>
      </c>
    </row>
    <row r="329" spans="1:17">
      <c r="A329" t="s">
        <v>39</v>
      </c>
      <c r="B329" t="s">
        <v>34</v>
      </c>
      <c r="C329" t="s">
        <v>30</v>
      </c>
      <c r="D329" t="s">
        <v>20</v>
      </c>
      <c r="E329">
        <v>0.03</v>
      </c>
      <c r="F329">
        <v>6847.01</v>
      </c>
      <c r="G329">
        <v>7.97</v>
      </c>
      <c r="H329">
        <v>17782</v>
      </c>
      <c r="I329">
        <v>54191</v>
      </c>
      <c r="J329">
        <v>10</v>
      </c>
      <c r="K329" t="s">
        <v>46</v>
      </c>
      <c r="L329" s="1">
        <v>44906</v>
      </c>
      <c r="M329" t="s">
        <v>76</v>
      </c>
      <c r="N329" t="s">
        <v>63</v>
      </c>
      <c r="O329">
        <v>7531.7110000000002</v>
      </c>
      <c r="P329">
        <v>684.70100000000002</v>
      </c>
      <c r="Q329">
        <v>0.39</v>
      </c>
    </row>
    <row r="330" spans="1:17">
      <c r="A330" t="s">
        <v>39</v>
      </c>
      <c r="B330" t="s">
        <v>29</v>
      </c>
      <c r="C330" t="s">
        <v>40</v>
      </c>
      <c r="D330" t="s">
        <v>36</v>
      </c>
      <c r="E330">
        <v>7.0000000000000007E-2</v>
      </c>
      <c r="F330">
        <v>8347.56</v>
      </c>
      <c r="G330">
        <v>1.46</v>
      </c>
      <c r="H330">
        <v>21868</v>
      </c>
      <c r="I330">
        <v>66294</v>
      </c>
      <c r="J330">
        <v>2</v>
      </c>
      <c r="K330" t="s">
        <v>21</v>
      </c>
      <c r="L330" s="1">
        <v>44751</v>
      </c>
      <c r="M330" t="s">
        <v>48</v>
      </c>
      <c r="N330" t="s">
        <v>23</v>
      </c>
      <c r="O330">
        <v>9182.3160000000007</v>
      </c>
      <c r="P330">
        <v>834.75600000000099</v>
      </c>
      <c r="Q330">
        <v>0.38</v>
      </c>
    </row>
    <row r="331" spans="1:17">
      <c r="A331" t="s">
        <v>39</v>
      </c>
      <c r="B331" t="s">
        <v>25</v>
      </c>
      <c r="C331" t="s">
        <v>35</v>
      </c>
      <c r="D331" t="s">
        <v>42</v>
      </c>
      <c r="E331">
        <v>7.0000000000000007E-2</v>
      </c>
      <c r="F331">
        <v>15000</v>
      </c>
      <c r="G331">
        <v>0.39145650743751997</v>
      </c>
      <c r="H331">
        <v>22929</v>
      </c>
      <c r="I331">
        <v>75641</v>
      </c>
      <c r="J331">
        <v>1</v>
      </c>
      <c r="K331" t="s">
        <v>46</v>
      </c>
      <c r="L331" s="1">
        <v>44882</v>
      </c>
      <c r="M331" t="s">
        <v>47</v>
      </c>
      <c r="N331" t="s">
        <v>41</v>
      </c>
      <c r="O331">
        <v>16500</v>
      </c>
      <c r="P331">
        <v>1500</v>
      </c>
      <c r="Q331">
        <v>0.65</v>
      </c>
    </row>
    <row r="332" spans="1:17">
      <c r="A332" t="s">
        <v>39</v>
      </c>
      <c r="B332" t="s">
        <v>34</v>
      </c>
      <c r="C332" t="s">
        <v>35</v>
      </c>
      <c r="D332" t="s">
        <v>50</v>
      </c>
      <c r="E332">
        <v>0.12</v>
      </c>
      <c r="F332">
        <v>13411.28</v>
      </c>
      <c r="G332">
        <v>5.17</v>
      </c>
      <c r="H332">
        <v>35371</v>
      </c>
      <c r="I332">
        <v>106289</v>
      </c>
      <c r="J332">
        <v>10</v>
      </c>
      <c r="K332" t="s">
        <v>21</v>
      </c>
      <c r="L332" s="1">
        <v>44846</v>
      </c>
      <c r="M332" t="s">
        <v>71</v>
      </c>
      <c r="N332" t="s">
        <v>57</v>
      </c>
      <c r="O332">
        <v>14752.407999999999</v>
      </c>
      <c r="P332">
        <v>1341.1279999999999</v>
      </c>
      <c r="Q332">
        <v>0.38</v>
      </c>
    </row>
    <row r="333" spans="1:17">
      <c r="A333" t="s">
        <v>45</v>
      </c>
      <c r="B333" t="s">
        <v>29</v>
      </c>
      <c r="C333" t="s">
        <v>40</v>
      </c>
      <c r="D333" t="s">
        <v>42</v>
      </c>
      <c r="E333">
        <v>0.01</v>
      </c>
      <c r="F333">
        <v>8530.7900000000009</v>
      </c>
      <c r="G333">
        <v>0.29314551241896503</v>
      </c>
      <c r="H333">
        <v>13140</v>
      </c>
      <c r="I333">
        <v>43768</v>
      </c>
      <c r="J333">
        <v>1</v>
      </c>
      <c r="K333" t="s">
        <v>37</v>
      </c>
      <c r="L333" s="1">
        <v>44891</v>
      </c>
      <c r="M333" t="s">
        <v>38</v>
      </c>
      <c r="N333" t="s">
        <v>41</v>
      </c>
      <c r="O333">
        <v>9383.8690000000006</v>
      </c>
      <c r="P333">
        <v>853.07900000000097</v>
      </c>
      <c r="Q333">
        <v>0.65</v>
      </c>
    </row>
    <row r="334" spans="1:17">
      <c r="A334" t="s">
        <v>55</v>
      </c>
      <c r="B334" t="s">
        <v>34</v>
      </c>
      <c r="C334" t="s">
        <v>30</v>
      </c>
      <c r="D334" t="s">
        <v>20</v>
      </c>
      <c r="E334">
        <v>0.05</v>
      </c>
      <c r="F334">
        <v>6899.57</v>
      </c>
      <c r="G334">
        <v>5.96</v>
      </c>
      <c r="H334">
        <v>17923</v>
      </c>
      <c r="I334">
        <v>54608</v>
      </c>
      <c r="J334">
        <v>3</v>
      </c>
      <c r="K334" t="s">
        <v>21</v>
      </c>
      <c r="L334" s="1">
        <v>44825</v>
      </c>
      <c r="M334" t="s">
        <v>26</v>
      </c>
      <c r="N334" t="s">
        <v>65</v>
      </c>
      <c r="O334">
        <v>7589.527</v>
      </c>
      <c r="P334">
        <v>689.95699999999999</v>
      </c>
      <c r="Q334">
        <v>0.38</v>
      </c>
    </row>
    <row r="335" spans="1:17">
      <c r="A335" t="s">
        <v>55</v>
      </c>
      <c r="B335" t="s">
        <v>25</v>
      </c>
      <c r="C335" t="s">
        <v>40</v>
      </c>
      <c r="D335" t="s">
        <v>50</v>
      </c>
      <c r="E335">
        <v>7.0000000000000007E-2</v>
      </c>
      <c r="F335">
        <v>10567.4</v>
      </c>
      <c r="G335">
        <v>2.79</v>
      </c>
      <c r="H335">
        <v>27895</v>
      </c>
      <c r="I335">
        <v>84144</v>
      </c>
      <c r="J335">
        <v>5</v>
      </c>
      <c r="K335" t="s">
        <v>37</v>
      </c>
      <c r="L335" s="1">
        <v>44649</v>
      </c>
      <c r="M335" t="s">
        <v>100</v>
      </c>
      <c r="N335" t="s">
        <v>81</v>
      </c>
      <c r="O335">
        <v>11624.14</v>
      </c>
      <c r="P335">
        <v>1056.74</v>
      </c>
      <c r="Q335">
        <v>0.38</v>
      </c>
    </row>
    <row r="336" spans="1:17">
      <c r="A336" t="s">
        <v>49</v>
      </c>
      <c r="B336" t="s">
        <v>25</v>
      </c>
      <c r="C336" t="s">
        <v>19</v>
      </c>
      <c r="D336" t="s">
        <v>36</v>
      </c>
      <c r="E336">
        <v>0.15</v>
      </c>
      <c r="F336">
        <v>2803.2</v>
      </c>
      <c r="G336">
        <v>0.36</v>
      </c>
      <c r="H336">
        <v>6862</v>
      </c>
      <c r="I336">
        <v>21845</v>
      </c>
      <c r="J336">
        <v>5</v>
      </c>
      <c r="K336" t="s">
        <v>51</v>
      </c>
      <c r="L336" s="1">
        <v>44774</v>
      </c>
      <c r="M336" t="s">
        <v>97</v>
      </c>
      <c r="N336" t="s">
        <v>32</v>
      </c>
      <c r="O336">
        <v>3083.52</v>
      </c>
      <c r="P336">
        <v>280.32</v>
      </c>
      <c r="Q336">
        <v>0.41</v>
      </c>
    </row>
    <row r="337" spans="1:17">
      <c r="A337" t="s">
        <v>49</v>
      </c>
      <c r="B337" t="s">
        <v>18</v>
      </c>
      <c r="C337" t="s">
        <v>19</v>
      </c>
      <c r="D337" t="s">
        <v>20</v>
      </c>
      <c r="E337">
        <v>0.04</v>
      </c>
      <c r="F337">
        <v>902.42</v>
      </c>
      <c r="G337">
        <v>0.51</v>
      </c>
      <c r="H337">
        <v>2688</v>
      </c>
      <c r="I337">
        <v>9483</v>
      </c>
      <c r="J337">
        <v>1</v>
      </c>
      <c r="K337" t="s">
        <v>21</v>
      </c>
      <c r="L337" s="1">
        <v>44798</v>
      </c>
      <c r="M337" t="s">
        <v>103</v>
      </c>
      <c r="N337" t="s">
        <v>32</v>
      </c>
      <c r="O337">
        <v>992.66200000000003</v>
      </c>
      <c r="P337">
        <v>90.242000000000004</v>
      </c>
      <c r="Q337">
        <v>0.34</v>
      </c>
    </row>
    <row r="338" spans="1:17">
      <c r="A338" t="s">
        <v>67</v>
      </c>
      <c r="B338" t="s">
        <v>29</v>
      </c>
      <c r="C338" t="s">
        <v>19</v>
      </c>
      <c r="D338" t="s">
        <v>36</v>
      </c>
      <c r="E338">
        <v>0.1</v>
      </c>
      <c r="F338">
        <v>500</v>
      </c>
      <c r="G338">
        <v>7.14</v>
      </c>
      <c r="H338">
        <v>1123</v>
      </c>
      <c r="I338">
        <v>4846</v>
      </c>
      <c r="J338">
        <v>7</v>
      </c>
      <c r="K338" t="s">
        <v>37</v>
      </c>
      <c r="L338" s="1">
        <v>44897</v>
      </c>
      <c r="M338" t="s">
        <v>99</v>
      </c>
      <c r="N338" t="s">
        <v>63</v>
      </c>
      <c r="O338">
        <v>550</v>
      </c>
      <c r="P338">
        <v>50</v>
      </c>
      <c r="Q338">
        <v>0.45</v>
      </c>
    </row>
    <row r="339" spans="1:17">
      <c r="A339" t="s">
        <v>24</v>
      </c>
      <c r="B339" t="s">
        <v>25</v>
      </c>
      <c r="C339" t="s">
        <v>40</v>
      </c>
      <c r="D339" t="s">
        <v>36</v>
      </c>
      <c r="E339">
        <v>0.05</v>
      </c>
      <c r="F339">
        <v>9672.7000000000007</v>
      </c>
      <c r="G339">
        <v>2.66</v>
      </c>
      <c r="H339">
        <v>25462</v>
      </c>
      <c r="I339">
        <v>76940</v>
      </c>
      <c r="J339">
        <v>10</v>
      </c>
      <c r="K339" t="s">
        <v>53</v>
      </c>
      <c r="L339" s="1">
        <v>44896</v>
      </c>
      <c r="M339" t="s">
        <v>83</v>
      </c>
      <c r="N339" t="s">
        <v>63</v>
      </c>
      <c r="O339">
        <v>10639.97</v>
      </c>
      <c r="P339">
        <v>967.27</v>
      </c>
      <c r="Q339">
        <v>0.38</v>
      </c>
    </row>
    <row r="340" spans="1:17">
      <c r="A340" t="s">
        <v>55</v>
      </c>
      <c r="B340" t="s">
        <v>34</v>
      </c>
      <c r="C340" t="s">
        <v>30</v>
      </c>
      <c r="D340" t="s">
        <v>50</v>
      </c>
      <c r="E340">
        <v>0.11</v>
      </c>
      <c r="F340">
        <v>5413.94</v>
      </c>
      <c r="G340">
        <v>7.86</v>
      </c>
      <c r="H340">
        <v>13895</v>
      </c>
      <c r="I340">
        <v>42678</v>
      </c>
      <c r="J340">
        <v>8</v>
      </c>
      <c r="K340" t="s">
        <v>51</v>
      </c>
      <c r="L340" s="1">
        <v>44743</v>
      </c>
      <c r="M340" t="s">
        <v>101</v>
      </c>
      <c r="N340" t="s">
        <v>23</v>
      </c>
      <c r="O340">
        <v>5955.3339999999998</v>
      </c>
      <c r="P340">
        <v>541.39400000000001</v>
      </c>
      <c r="Q340">
        <v>0.39</v>
      </c>
    </row>
    <row r="341" spans="1:17">
      <c r="A341" t="s">
        <v>39</v>
      </c>
      <c r="B341" t="s">
        <v>18</v>
      </c>
      <c r="C341" t="s">
        <v>30</v>
      </c>
      <c r="D341" t="s">
        <v>20</v>
      </c>
      <c r="E341">
        <v>0.04</v>
      </c>
      <c r="F341">
        <v>5859.81</v>
      </c>
      <c r="G341">
        <v>7.29</v>
      </c>
      <c r="H341">
        <v>15115</v>
      </c>
      <c r="I341">
        <v>46290</v>
      </c>
      <c r="J341">
        <v>8</v>
      </c>
      <c r="K341" t="s">
        <v>53</v>
      </c>
      <c r="L341" s="1">
        <v>44847</v>
      </c>
      <c r="M341" t="s">
        <v>82</v>
      </c>
      <c r="N341" t="s">
        <v>57</v>
      </c>
      <c r="O341">
        <v>6445.7910000000002</v>
      </c>
      <c r="P341">
        <v>585.98099999999999</v>
      </c>
      <c r="Q341">
        <v>0.39</v>
      </c>
    </row>
    <row r="342" spans="1:17">
      <c r="A342" t="s">
        <v>17</v>
      </c>
      <c r="B342" t="s">
        <v>25</v>
      </c>
      <c r="C342" t="s">
        <v>40</v>
      </c>
      <c r="D342" t="s">
        <v>20</v>
      </c>
      <c r="E342">
        <v>0.08</v>
      </c>
      <c r="F342">
        <v>10101.209999999999</v>
      </c>
      <c r="G342">
        <v>3.39</v>
      </c>
      <c r="H342">
        <v>26628</v>
      </c>
      <c r="I342">
        <v>80393</v>
      </c>
      <c r="J342">
        <v>7</v>
      </c>
      <c r="K342" t="s">
        <v>53</v>
      </c>
      <c r="L342" s="1">
        <v>44599</v>
      </c>
      <c r="M342" t="s">
        <v>84</v>
      </c>
      <c r="N342" t="s">
        <v>60</v>
      </c>
      <c r="O342">
        <v>11111.331</v>
      </c>
      <c r="P342">
        <v>1010.121</v>
      </c>
      <c r="Q342">
        <v>0.38</v>
      </c>
    </row>
    <row r="343" spans="1:17">
      <c r="A343" t="s">
        <v>28</v>
      </c>
      <c r="B343" t="s">
        <v>34</v>
      </c>
      <c r="C343" t="s">
        <v>19</v>
      </c>
      <c r="D343" t="s">
        <v>36</v>
      </c>
      <c r="E343">
        <v>0.12</v>
      </c>
      <c r="F343">
        <v>903.3</v>
      </c>
      <c r="G343">
        <v>3.53</v>
      </c>
      <c r="H343">
        <v>2690</v>
      </c>
      <c r="I343">
        <v>9488</v>
      </c>
      <c r="J343">
        <v>7</v>
      </c>
      <c r="K343" t="s">
        <v>37</v>
      </c>
      <c r="L343" s="1">
        <v>44769</v>
      </c>
      <c r="M343" t="s">
        <v>89</v>
      </c>
      <c r="N343" t="s">
        <v>23</v>
      </c>
      <c r="O343">
        <v>993.63</v>
      </c>
      <c r="P343">
        <v>90.33</v>
      </c>
      <c r="Q343">
        <v>0.34</v>
      </c>
    </row>
    <row r="344" spans="1:17">
      <c r="A344" t="s">
        <v>49</v>
      </c>
      <c r="B344" t="s">
        <v>29</v>
      </c>
      <c r="C344" t="s">
        <v>19</v>
      </c>
      <c r="D344" t="s">
        <v>36</v>
      </c>
      <c r="E344">
        <v>0.06</v>
      </c>
      <c r="F344">
        <v>3173.05</v>
      </c>
      <c r="G344">
        <v>7.83</v>
      </c>
      <c r="H344">
        <v>7825</v>
      </c>
      <c r="I344">
        <v>24698</v>
      </c>
      <c r="J344">
        <v>3</v>
      </c>
      <c r="K344" t="s">
        <v>51</v>
      </c>
      <c r="L344" s="1">
        <v>44634</v>
      </c>
      <c r="M344" t="s">
        <v>101</v>
      </c>
      <c r="N344" t="s">
        <v>81</v>
      </c>
      <c r="O344">
        <v>3490.355</v>
      </c>
      <c r="P344">
        <v>317.30500000000001</v>
      </c>
      <c r="Q344">
        <v>0.41</v>
      </c>
    </row>
    <row r="345" spans="1:17">
      <c r="A345" t="s">
        <v>17</v>
      </c>
      <c r="B345" t="s">
        <v>18</v>
      </c>
      <c r="C345" t="s">
        <v>35</v>
      </c>
      <c r="D345" t="s">
        <v>20</v>
      </c>
      <c r="E345">
        <v>0.13</v>
      </c>
      <c r="F345">
        <v>13078.39</v>
      </c>
      <c r="G345">
        <v>3.33</v>
      </c>
      <c r="H345">
        <v>34573</v>
      </c>
      <c r="I345">
        <v>103927</v>
      </c>
      <c r="J345">
        <v>7</v>
      </c>
      <c r="K345" t="s">
        <v>46</v>
      </c>
      <c r="L345" s="1">
        <v>44770</v>
      </c>
      <c r="M345" t="s">
        <v>87</v>
      </c>
      <c r="N345" t="s">
        <v>23</v>
      </c>
      <c r="O345">
        <v>14386.228999999999</v>
      </c>
      <c r="P345">
        <v>1307.8389999999999</v>
      </c>
      <c r="Q345">
        <v>0.38</v>
      </c>
    </row>
    <row r="346" spans="1:17">
      <c r="A346" t="s">
        <v>33</v>
      </c>
      <c r="B346" t="s">
        <v>29</v>
      </c>
      <c r="C346" t="s">
        <v>35</v>
      </c>
      <c r="D346" t="s">
        <v>50</v>
      </c>
      <c r="E346">
        <v>0.11</v>
      </c>
      <c r="F346">
        <v>12067.53</v>
      </c>
      <c r="G346">
        <v>0.31</v>
      </c>
      <c r="H346">
        <v>31944</v>
      </c>
      <c r="I346">
        <v>96140</v>
      </c>
      <c r="J346">
        <v>5</v>
      </c>
      <c r="K346" t="s">
        <v>37</v>
      </c>
      <c r="L346" s="1">
        <v>44820</v>
      </c>
      <c r="M346" t="s">
        <v>56</v>
      </c>
      <c r="N346" t="s">
        <v>65</v>
      </c>
      <c r="O346">
        <v>13274.282999999999</v>
      </c>
      <c r="P346">
        <v>1206.7529999999999</v>
      </c>
      <c r="Q346">
        <v>0.38</v>
      </c>
    </row>
    <row r="347" spans="1:17">
      <c r="A347" t="s">
        <v>39</v>
      </c>
      <c r="B347" t="s">
        <v>29</v>
      </c>
      <c r="C347" t="s">
        <v>30</v>
      </c>
      <c r="D347" t="s">
        <v>36</v>
      </c>
      <c r="E347">
        <v>0.11</v>
      </c>
      <c r="F347">
        <v>6080.84</v>
      </c>
      <c r="G347">
        <v>4.7</v>
      </c>
      <c r="H347">
        <v>15721</v>
      </c>
      <c r="I347">
        <v>48085</v>
      </c>
      <c r="J347">
        <v>2</v>
      </c>
      <c r="K347" t="s">
        <v>46</v>
      </c>
      <c r="L347" s="1">
        <v>44790</v>
      </c>
      <c r="M347" t="s">
        <v>88</v>
      </c>
      <c r="N347" t="s">
        <v>32</v>
      </c>
      <c r="O347">
        <v>6688.924</v>
      </c>
      <c r="P347">
        <v>608.08399999999995</v>
      </c>
      <c r="Q347">
        <v>0.39</v>
      </c>
    </row>
    <row r="348" spans="1:17">
      <c r="A348" t="s">
        <v>17</v>
      </c>
      <c r="B348" t="s">
        <v>29</v>
      </c>
      <c r="C348" t="s">
        <v>35</v>
      </c>
      <c r="D348" t="s">
        <v>42</v>
      </c>
      <c r="E348">
        <v>0.1</v>
      </c>
      <c r="F348">
        <v>12471.95</v>
      </c>
      <c r="G348">
        <v>1.00813456709936</v>
      </c>
      <c r="H348">
        <v>19389</v>
      </c>
      <c r="I348">
        <v>64116</v>
      </c>
      <c r="J348">
        <v>1</v>
      </c>
      <c r="K348" t="s">
        <v>21</v>
      </c>
      <c r="L348" s="1">
        <v>44648</v>
      </c>
      <c r="M348" t="s">
        <v>61</v>
      </c>
      <c r="N348" t="s">
        <v>81</v>
      </c>
      <c r="O348">
        <v>13719.145</v>
      </c>
      <c r="P348">
        <v>1247.1949999999999</v>
      </c>
      <c r="Q348">
        <v>0.64</v>
      </c>
    </row>
    <row r="349" spans="1:17">
      <c r="A349" t="s">
        <v>49</v>
      </c>
      <c r="B349" t="s">
        <v>29</v>
      </c>
      <c r="C349" t="s">
        <v>40</v>
      </c>
      <c r="D349" t="s">
        <v>50</v>
      </c>
      <c r="E349">
        <v>0.12</v>
      </c>
      <c r="F349">
        <v>9764.24</v>
      </c>
      <c r="G349">
        <v>0.62</v>
      </c>
      <c r="H349">
        <v>25718</v>
      </c>
      <c r="I349">
        <v>77696</v>
      </c>
      <c r="J349">
        <v>1</v>
      </c>
      <c r="K349" t="s">
        <v>53</v>
      </c>
      <c r="L349" s="1">
        <v>44884</v>
      </c>
      <c r="M349" t="s">
        <v>68</v>
      </c>
      <c r="N349" t="s">
        <v>41</v>
      </c>
      <c r="O349">
        <v>10740.664000000001</v>
      </c>
      <c r="P349">
        <v>976.42399999999998</v>
      </c>
      <c r="Q349">
        <v>0.38</v>
      </c>
    </row>
    <row r="350" spans="1:17">
      <c r="A350" t="s">
        <v>17</v>
      </c>
      <c r="B350" t="s">
        <v>34</v>
      </c>
      <c r="C350" t="s">
        <v>19</v>
      </c>
      <c r="D350" t="s">
        <v>42</v>
      </c>
      <c r="E350">
        <v>7.0000000000000007E-2</v>
      </c>
      <c r="F350">
        <v>500</v>
      </c>
      <c r="G350">
        <v>0.70783916413359804</v>
      </c>
      <c r="H350">
        <v>1160</v>
      </c>
      <c r="I350">
        <v>4760</v>
      </c>
      <c r="J350">
        <v>1</v>
      </c>
      <c r="K350" t="s">
        <v>53</v>
      </c>
      <c r="L350" s="1">
        <v>44703</v>
      </c>
      <c r="M350" t="s">
        <v>54</v>
      </c>
      <c r="N350" t="s">
        <v>44</v>
      </c>
      <c r="O350">
        <v>550</v>
      </c>
      <c r="P350">
        <v>50</v>
      </c>
      <c r="Q350">
        <v>0.43</v>
      </c>
    </row>
    <row r="351" spans="1:17">
      <c r="A351" t="s">
        <v>39</v>
      </c>
      <c r="B351" t="s">
        <v>29</v>
      </c>
      <c r="C351" t="s">
        <v>19</v>
      </c>
      <c r="D351" t="s">
        <v>42</v>
      </c>
      <c r="E351">
        <v>0.09</v>
      </c>
      <c r="F351">
        <v>1645.79</v>
      </c>
      <c r="G351">
        <v>0.63276531339215603</v>
      </c>
      <c r="H351">
        <v>2411</v>
      </c>
      <c r="I351">
        <v>8833</v>
      </c>
      <c r="J351">
        <v>1</v>
      </c>
      <c r="K351" t="s">
        <v>21</v>
      </c>
      <c r="L351" s="1">
        <v>44729</v>
      </c>
      <c r="M351" t="s">
        <v>71</v>
      </c>
      <c r="N351" t="s">
        <v>69</v>
      </c>
      <c r="O351">
        <v>1810.3689999999999</v>
      </c>
      <c r="P351">
        <v>164.57900000000001</v>
      </c>
      <c r="Q351">
        <v>0.68</v>
      </c>
    </row>
    <row r="352" spans="1:17">
      <c r="A352" t="s">
        <v>28</v>
      </c>
      <c r="B352" t="s">
        <v>25</v>
      </c>
      <c r="C352" t="s">
        <v>35</v>
      </c>
      <c r="D352" t="s">
        <v>50</v>
      </c>
      <c r="E352">
        <v>0.05</v>
      </c>
      <c r="F352">
        <v>11579.62</v>
      </c>
      <c r="G352">
        <v>6.25</v>
      </c>
      <c r="H352">
        <v>30659</v>
      </c>
      <c r="I352">
        <v>92334</v>
      </c>
      <c r="J352">
        <v>8</v>
      </c>
      <c r="K352" t="s">
        <v>37</v>
      </c>
      <c r="L352" s="1">
        <v>44660</v>
      </c>
      <c r="M352" t="s">
        <v>100</v>
      </c>
      <c r="N352" t="s">
        <v>73</v>
      </c>
      <c r="O352">
        <v>12737.582</v>
      </c>
      <c r="P352">
        <v>1157.962</v>
      </c>
      <c r="Q352">
        <v>0.38</v>
      </c>
    </row>
    <row r="353" spans="1:17">
      <c r="A353" t="s">
        <v>45</v>
      </c>
      <c r="B353" t="s">
        <v>18</v>
      </c>
      <c r="C353" t="s">
        <v>35</v>
      </c>
      <c r="D353" t="s">
        <v>20</v>
      </c>
      <c r="E353">
        <v>0.04</v>
      </c>
      <c r="F353">
        <v>12726.83</v>
      </c>
      <c r="G353">
        <v>0.99</v>
      </c>
      <c r="H353">
        <v>33677</v>
      </c>
      <c r="I353">
        <v>101271</v>
      </c>
      <c r="J353">
        <v>10</v>
      </c>
      <c r="K353" t="s">
        <v>21</v>
      </c>
      <c r="L353" s="1">
        <v>44692</v>
      </c>
      <c r="M353" t="s">
        <v>22</v>
      </c>
      <c r="N353" t="s">
        <v>44</v>
      </c>
      <c r="O353">
        <v>13999.513000000001</v>
      </c>
      <c r="P353">
        <v>1272.683</v>
      </c>
      <c r="Q353">
        <v>0.38</v>
      </c>
    </row>
    <row r="354" spans="1:17">
      <c r="A354" t="s">
        <v>67</v>
      </c>
      <c r="B354" t="s">
        <v>29</v>
      </c>
      <c r="C354" t="s">
        <v>19</v>
      </c>
      <c r="D354" t="s">
        <v>20</v>
      </c>
      <c r="E354">
        <v>0.05</v>
      </c>
      <c r="F354">
        <v>1385.63</v>
      </c>
      <c r="G354">
        <v>3.81</v>
      </c>
      <c r="H354">
        <v>3576</v>
      </c>
      <c r="I354">
        <v>12112</v>
      </c>
      <c r="J354">
        <v>10</v>
      </c>
      <c r="K354" t="s">
        <v>53</v>
      </c>
      <c r="L354" s="1">
        <v>44570</v>
      </c>
      <c r="M354" t="s">
        <v>104</v>
      </c>
      <c r="N354" t="s">
        <v>27</v>
      </c>
      <c r="O354">
        <v>1524.193</v>
      </c>
      <c r="P354">
        <v>138.56299999999999</v>
      </c>
      <c r="Q354">
        <v>0.39</v>
      </c>
    </row>
    <row r="355" spans="1:17">
      <c r="A355" t="s">
        <v>39</v>
      </c>
      <c r="B355" t="s">
        <v>18</v>
      </c>
      <c r="C355" t="s">
        <v>19</v>
      </c>
      <c r="D355" t="s">
        <v>36</v>
      </c>
      <c r="E355">
        <v>0.04</v>
      </c>
      <c r="F355">
        <v>500</v>
      </c>
      <c r="G355">
        <v>4.09</v>
      </c>
      <c r="H355">
        <v>1824</v>
      </c>
      <c r="I355">
        <v>6922</v>
      </c>
      <c r="J355">
        <v>6</v>
      </c>
      <c r="K355" t="s">
        <v>37</v>
      </c>
      <c r="L355" s="1">
        <v>44656</v>
      </c>
      <c r="M355" t="s">
        <v>56</v>
      </c>
      <c r="N355" t="s">
        <v>73</v>
      </c>
      <c r="O355">
        <v>550</v>
      </c>
      <c r="P355">
        <v>50</v>
      </c>
      <c r="Q355">
        <v>0.27</v>
      </c>
    </row>
    <row r="356" spans="1:17">
      <c r="A356" t="s">
        <v>55</v>
      </c>
      <c r="B356" t="s">
        <v>18</v>
      </c>
      <c r="C356" t="s">
        <v>30</v>
      </c>
      <c r="D356" t="s">
        <v>36</v>
      </c>
      <c r="E356">
        <v>0.05</v>
      </c>
      <c r="F356">
        <v>5935.49</v>
      </c>
      <c r="G356">
        <v>7.5</v>
      </c>
      <c r="H356">
        <v>15324</v>
      </c>
      <c r="I356">
        <v>46911</v>
      </c>
      <c r="J356">
        <v>1</v>
      </c>
      <c r="K356" t="s">
        <v>51</v>
      </c>
      <c r="L356" s="1">
        <v>44662</v>
      </c>
      <c r="M356" t="s">
        <v>92</v>
      </c>
      <c r="N356" t="s">
        <v>73</v>
      </c>
      <c r="O356">
        <v>6529.0389999999998</v>
      </c>
      <c r="P356">
        <v>593.54899999999998</v>
      </c>
      <c r="Q356">
        <v>0.39</v>
      </c>
    </row>
    <row r="357" spans="1:17">
      <c r="A357" t="s">
        <v>33</v>
      </c>
      <c r="B357" t="s">
        <v>34</v>
      </c>
      <c r="C357" t="s">
        <v>35</v>
      </c>
      <c r="D357" t="s">
        <v>20</v>
      </c>
      <c r="E357">
        <v>0.11</v>
      </c>
      <c r="F357">
        <v>13620.65</v>
      </c>
      <c r="G357">
        <v>4.71</v>
      </c>
      <c r="H357">
        <v>35861</v>
      </c>
      <c r="I357">
        <v>107740</v>
      </c>
      <c r="J357">
        <v>7</v>
      </c>
      <c r="K357" t="s">
        <v>53</v>
      </c>
      <c r="L357" s="1">
        <v>44843</v>
      </c>
      <c r="M357" t="s">
        <v>102</v>
      </c>
      <c r="N357" t="s">
        <v>57</v>
      </c>
      <c r="O357">
        <v>14982.715</v>
      </c>
      <c r="P357">
        <v>1362.0650000000001</v>
      </c>
      <c r="Q357">
        <v>0.38</v>
      </c>
    </row>
    <row r="358" spans="1:17">
      <c r="A358" t="s">
        <v>49</v>
      </c>
      <c r="B358" t="s">
        <v>18</v>
      </c>
      <c r="C358" t="s">
        <v>40</v>
      </c>
      <c r="D358" t="s">
        <v>42</v>
      </c>
      <c r="E358">
        <v>0.06</v>
      </c>
      <c r="F358">
        <v>8115.68</v>
      </c>
      <c r="G358">
        <v>1.1261077611216299</v>
      </c>
      <c r="H358">
        <v>12469</v>
      </c>
      <c r="I358">
        <v>41583</v>
      </c>
      <c r="J358">
        <v>1</v>
      </c>
      <c r="K358" t="s">
        <v>37</v>
      </c>
      <c r="L358" s="1">
        <v>44857</v>
      </c>
      <c r="M358" t="s">
        <v>38</v>
      </c>
      <c r="N358" t="s">
        <v>57</v>
      </c>
      <c r="O358">
        <v>8927.2479999999996</v>
      </c>
      <c r="P358">
        <v>811.56800000000101</v>
      </c>
      <c r="Q358">
        <v>0.65</v>
      </c>
    </row>
    <row r="359" spans="1:17">
      <c r="A359" t="s">
        <v>67</v>
      </c>
      <c r="B359" t="s">
        <v>25</v>
      </c>
      <c r="C359" t="s">
        <v>19</v>
      </c>
      <c r="D359" t="s">
        <v>42</v>
      </c>
      <c r="E359">
        <v>0.08</v>
      </c>
      <c r="F359">
        <v>3350.48</v>
      </c>
      <c r="G359">
        <v>0.21807166167752201</v>
      </c>
      <c r="H359">
        <v>4870</v>
      </c>
      <c r="I359">
        <v>16840</v>
      </c>
      <c r="J359">
        <v>1</v>
      </c>
      <c r="K359" t="s">
        <v>51</v>
      </c>
      <c r="L359" s="1">
        <v>44642</v>
      </c>
      <c r="M359" t="s">
        <v>92</v>
      </c>
      <c r="N359" t="s">
        <v>81</v>
      </c>
      <c r="O359">
        <v>3685.5279999999998</v>
      </c>
      <c r="P359">
        <v>335.048</v>
      </c>
      <c r="Q359">
        <v>0.69</v>
      </c>
    </row>
    <row r="360" spans="1:17">
      <c r="A360" t="s">
        <v>28</v>
      </c>
      <c r="B360" t="s">
        <v>25</v>
      </c>
      <c r="C360" t="s">
        <v>19</v>
      </c>
      <c r="D360" t="s">
        <v>42</v>
      </c>
      <c r="E360">
        <v>0.02</v>
      </c>
      <c r="F360">
        <v>3900.11</v>
      </c>
      <c r="G360">
        <v>0.16087253730309001</v>
      </c>
      <c r="H360">
        <v>5735</v>
      </c>
      <c r="I360">
        <v>19656</v>
      </c>
      <c r="J360">
        <v>1</v>
      </c>
      <c r="K360" t="s">
        <v>21</v>
      </c>
      <c r="L360" s="1">
        <v>44784</v>
      </c>
      <c r="M360" t="s">
        <v>77</v>
      </c>
      <c r="N360" t="s">
        <v>32</v>
      </c>
      <c r="O360">
        <v>4290.1210000000001</v>
      </c>
      <c r="P360">
        <v>390.010999999999</v>
      </c>
      <c r="Q360">
        <v>0.68</v>
      </c>
    </row>
    <row r="361" spans="1:17">
      <c r="A361" t="s">
        <v>33</v>
      </c>
      <c r="B361" t="s">
        <v>34</v>
      </c>
      <c r="C361" t="s">
        <v>30</v>
      </c>
      <c r="D361" t="s">
        <v>36</v>
      </c>
      <c r="E361">
        <v>0.09</v>
      </c>
      <c r="F361">
        <v>6593.6</v>
      </c>
      <c r="G361">
        <v>0.14000000000000001</v>
      </c>
      <c r="H361">
        <v>17090</v>
      </c>
      <c r="I361">
        <v>52142</v>
      </c>
      <c r="J361">
        <v>4</v>
      </c>
      <c r="K361" t="s">
        <v>53</v>
      </c>
      <c r="L361" s="1">
        <v>44593</v>
      </c>
      <c r="M361" t="s">
        <v>78</v>
      </c>
      <c r="N361" t="s">
        <v>60</v>
      </c>
      <c r="O361">
        <v>7252.96</v>
      </c>
      <c r="P361">
        <v>659.36</v>
      </c>
      <c r="Q361">
        <v>0.39</v>
      </c>
    </row>
    <row r="362" spans="1:17">
      <c r="A362" t="s">
        <v>49</v>
      </c>
      <c r="B362" t="s">
        <v>29</v>
      </c>
      <c r="C362" t="s">
        <v>40</v>
      </c>
      <c r="D362" t="s">
        <v>36</v>
      </c>
      <c r="E362">
        <v>0.05</v>
      </c>
      <c r="F362">
        <v>10050.14</v>
      </c>
      <c r="G362">
        <v>4.74</v>
      </c>
      <c r="H362">
        <v>26488</v>
      </c>
      <c r="I362">
        <v>79978</v>
      </c>
      <c r="J362">
        <v>8</v>
      </c>
      <c r="K362" t="s">
        <v>21</v>
      </c>
      <c r="L362" s="1">
        <v>44902</v>
      </c>
      <c r="M362" t="s">
        <v>22</v>
      </c>
      <c r="N362" t="s">
        <v>63</v>
      </c>
      <c r="O362">
        <v>11055.154</v>
      </c>
      <c r="P362">
        <v>1005.014</v>
      </c>
      <c r="Q362">
        <v>0.38</v>
      </c>
    </row>
    <row r="363" spans="1:17">
      <c r="A363" t="s">
        <v>55</v>
      </c>
      <c r="B363" t="s">
        <v>18</v>
      </c>
      <c r="C363" t="s">
        <v>35</v>
      </c>
      <c r="D363" t="s">
        <v>36</v>
      </c>
      <c r="E363">
        <v>0.04</v>
      </c>
      <c r="F363">
        <v>13814.93</v>
      </c>
      <c r="G363">
        <v>7.78</v>
      </c>
      <c r="H363">
        <v>36278</v>
      </c>
      <c r="I363">
        <v>108978</v>
      </c>
      <c r="J363">
        <v>10</v>
      </c>
      <c r="K363" t="s">
        <v>46</v>
      </c>
      <c r="L363" s="1">
        <v>44671</v>
      </c>
      <c r="M363" t="s">
        <v>88</v>
      </c>
      <c r="N363" t="s">
        <v>73</v>
      </c>
      <c r="O363">
        <v>15196.423000000001</v>
      </c>
      <c r="P363">
        <v>1381.4929999999999</v>
      </c>
      <c r="Q363">
        <v>0.38</v>
      </c>
    </row>
    <row r="364" spans="1:17">
      <c r="A364" t="s">
        <v>49</v>
      </c>
      <c r="B364" t="s">
        <v>34</v>
      </c>
      <c r="C364" t="s">
        <v>40</v>
      </c>
      <c r="D364" t="s">
        <v>20</v>
      </c>
      <c r="E364">
        <v>0.05</v>
      </c>
      <c r="F364">
        <v>9917.36</v>
      </c>
      <c r="G364">
        <v>1.19</v>
      </c>
      <c r="H364">
        <v>26127</v>
      </c>
      <c r="I364">
        <v>78907</v>
      </c>
      <c r="J364">
        <v>4</v>
      </c>
      <c r="K364" t="s">
        <v>21</v>
      </c>
      <c r="L364" s="1">
        <v>44757</v>
      </c>
      <c r="M364" t="s">
        <v>71</v>
      </c>
      <c r="N364" t="s">
        <v>23</v>
      </c>
      <c r="O364">
        <v>10909.096</v>
      </c>
      <c r="P364">
        <v>991.73599999999999</v>
      </c>
      <c r="Q364">
        <v>0.38</v>
      </c>
    </row>
    <row r="365" spans="1:17">
      <c r="A365" t="s">
        <v>24</v>
      </c>
      <c r="B365" t="s">
        <v>29</v>
      </c>
      <c r="C365" t="s">
        <v>40</v>
      </c>
      <c r="D365" t="s">
        <v>42</v>
      </c>
      <c r="E365">
        <v>0.09</v>
      </c>
      <c r="F365">
        <v>8489.27</v>
      </c>
      <c r="G365">
        <v>0.85977433825318395</v>
      </c>
      <c r="H365">
        <v>13071</v>
      </c>
      <c r="I365">
        <v>43544</v>
      </c>
      <c r="J365">
        <v>1</v>
      </c>
      <c r="K365" t="s">
        <v>51</v>
      </c>
      <c r="L365" s="1">
        <v>44802</v>
      </c>
      <c r="M365" t="s">
        <v>92</v>
      </c>
      <c r="N365" t="s">
        <v>32</v>
      </c>
      <c r="O365">
        <v>9338.1970000000001</v>
      </c>
      <c r="P365">
        <v>848.92700000000104</v>
      </c>
      <c r="Q365">
        <v>0.65</v>
      </c>
    </row>
    <row r="366" spans="1:17">
      <c r="A366" t="s">
        <v>55</v>
      </c>
      <c r="B366" t="s">
        <v>25</v>
      </c>
      <c r="C366" t="s">
        <v>19</v>
      </c>
      <c r="D366" t="s">
        <v>20</v>
      </c>
      <c r="E366">
        <v>0.01</v>
      </c>
      <c r="F366">
        <v>2777.25</v>
      </c>
      <c r="G366">
        <v>6.24</v>
      </c>
      <c r="H366">
        <v>6798</v>
      </c>
      <c r="I366">
        <v>21656</v>
      </c>
      <c r="J366">
        <v>4</v>
      </c>
      <c r="K366" t="s">
        <v>51</v>
      </c>
      <c r="L366" s="1">
        <v>44617</v>
      </c>
      <c r="M366" t="s">
        <v>75</v>
      </c>
      <c r="N366" t="s">
        <v>60</v>
      </c>
      <c r="O366">
        <v>3054.9749999999999</v>
      </c>
      <c r="P366">
        <v>277.72500000000002</v>
      </c>
      <c r="Q366">
        <v>0.41</v>
      </c>
    </row>
    <row r="367" spans="1:17">
      <c r="A367" t="s">
        <v>17</v>
      </c>
      <c r="B367" t="s">
        <v>25</v>
      </c>
      <c r="C367" t="s">
        <v>19</v>
      </c>
      <c r="D367" t="s">
        <v>42</v>
      </c>
      <c r="E367">
        <v>0.04</v>
      </c>
      <c r="F367">
        <v>1791.36</v>
      </c>
      <c r="G367">
        <v>0.24845869650143901</v>
      </c>
      <c r="H367">
        <v>2595</v>
      </c>
      <c r="I367">
        <v>9432</v>
      </c>
      <c r="J367">
        <v>1</v>
      </c>
      <c r="K367" t="s">
        <v>46</v>
      </c>
      <c r="L367" s="1">
        <v>44878</v>
      </c>
      <c r="M367" t="s">
        <v>96</v>
      </c>
      <c r="N367" t="s">
        <v>41</v>
      </c>
      <c r="O367">
        <v>1970.4960000000001</v>
      </c>
      <c r="P367">
        <v>179.136</v>
      </c>
      <c r="Q367">
        <v>0.69</v>
      </c>
    </row>
    <row r="368" spans="1:17">
      <c r="A368" t="s">
        <v>28</v>
      </c>
      <c r="B368" t="s">
        <v>25</v>
      </c>
      <c r="C368" t="s">
        <v>35</v>
      </c>
      <c r="D368" t="s">
        <v>50</v>
      </c>
      <c r="E368">
        <v>0.08</v>
      </c>
      <c r="F368">
        <v>12993.92</v>
      </c>
      <c r="G368">
        <v>7.55</v>
      </c>
      <c r="H368">
        <v>34364</v>
      </c>
      <c r="I368">
        <v>103307</v>
      </c>
      <c r="J368">
        <v>1</v>
      </c>
      <c r="K368" t="s">
        <v>21</v>
      </c>
      <c r="L368" s="1">
        <v>44817</v>
      </c>
      <c r="M368" t="s">
        <v>80</v>
      </c>
      <c r="N368" t="s">
        <v>65</v>
      </c>
      <c r="O368">
        <v>14293.312</v>
      </c>
      <c r="P368">
        <v>1299.3920000000001</v>
      </c>
      <c r="Q368">
        <v>0.38</v>
      </c>
    </row>
    <row r="369" spans="1:17">
      <c r="A369" t="s">
        <v>33</v>
      </c>
      <c r="B369" t="s">
        <v>18</v>
      </c>
      <c r="C369" t="s">
        <v>19</v>
      </c>
      <c r="D369" t="s">
        <v>42</v>
      </c>
      <c r="E369">
        <v>0.04</v>
      </c>
      <c r="F369">
        <v>3483.69</v>
      </c>
      <c r="G369">
        <v>0.61489058702514598</v>
      </c>
      <c r="H369">
        <v>5073</v>
      </c>
      <c r="I369">
        <v>17501</v>
      </c>
      <c r="J369">
        <v>1</v>
      </c>
      <c r="K369" t="s">
        <v>46</v>
      </c>
      <c r="L369" s="1">
        <v>44663</v>
      </c>
      <c r="M369" t="s">
        <v>47</v>
      </c>
      <c r="N369" t="s">
        <v>73</v>
      </c>
      <c r="O369">
        <v>3832.0590000000002</v>
      </c>
      <c r="P369">
        <v>348.36900000000003</v>
      </c>
      <c r="Q369">
        <v>0.69</v>
      </c>
    </row>
    <row r="370" spans="1:17">
      <c r="A370" t="s">
        <v>39</v>
      </c>
      <c r="B370" t="s">
        <v>25</v>
      </c>
      <c r="C370" t="s">
        <v>40</v>
      </c>
      <c r="D370" t="s">
        <v>20</v>
      </c>
      <c r="E370">
        <v>0.04</v>
      </c>
      <c r="F370">
        <v>10579.88</v>
      </c>
      <c r="G370">
        <v>4.62</v>
      </c>
      <c r="H370">
        <v>27932</v>
      </c>
      <c r="I370">
        <v>84255</v>
      </c>
      <c r="J370">
        <v>10</v>
      </c>
      <c r="K370" t="s">
        <v>37</v>
      </c>
      <c r="L370" s="1">
        <v>44860</v>
      </c>
      <c r="M370" t="s">
        <v>91</v>
      </c>
      <c r="N370" t="s">
        <v>57</v>
      </c>
      <c r="O370">
        <v>11637.868</v>
      </c>
      <c r="P370">
        <v>1057.9880000000001</v>
      </c>
      <c r="Q370">
        <v>0.38</v>
      </c>
    </row>
    <row r="371" spans="1:17">
      <c r="A371" t="s">
        <v>67</v>
      </c>
      <c r="B371" t="s">
        <v>34</v>
      </c>
      <c r="C371" t="s">
        <v>40</v>
      </c>
      <c r="D371" t="s">
        <v>36</v>
      </c>
      <c r="E371">
        <v>0.14000000000000001</v>
      </c>
      <c r="F371">
        <v>9752.26</v>
      </c>
      <c r="G371">
        <v>0.68</v>
      </c>
      <c r="H371">
        <v>25683</v>
      </c>
      <c r="I371">
        <v>77593</v>
      </c>
      <c r="J371">
        <v>3</v>
      </c>
      <c r="K371" t="s">
        <v>51</v>
      </c>
      <c r="L371" s="1">
        <v>44794</v>
      </c>
      <c r="M371" t="s">
        <v>59</v>
      </c>
      <c r="N371" t="s">
        <v>32</v>
      </c>
      <c r="O371">
        <v>10727.486000000001</v>
      </c>
      <c r="P371">
        <v>975.226</v>
      </c>
      <c r="Q371">
        <v>0.38</v>
      </c>
    </row>
    <row r="372" spans="1:17">
      <c r="A372" t="s">
        <v>33</v>
      </c>
      <c r="B372" t="s">
        <v>34</v>
      </c>
      <c r="C372" t="s">
        <v>19</v>
      </c>
      <c r="D372" t="s">
        <v>42</v>
      </c>
      <c r="E372">
        <v>0.02</v>
      </c>
      <c r="F372">
        <v>500</v>
      </c>
      <c r="G372">
        <v>0.94199807954143</v>
      </c>
      <c r="H372">
        <v>460</v>
      </c>
      <c r="I372">
        <v>2479</v>
      </c>
      <c r="J372">
        <v>1</v>
      </c>
      <c r="K372" t="s">
        <v>21</v>
      </c>
      <c r="L372" s="1">
        <v>44865</v>
      </c>
      <c r="M372" t="s">
        <v>48</v>
      </c>
      <c r="N372" t="s">
        <v>57</v>
      </c>
      <c r="O372">
        <v>550</v>
      </c>
      <c r="P372">
        <v>50</v>
      </c>
      <c r="Q372">
        <v>1.0900000000000001</v>
      </c>
    </row>
    <row r="373" spans="1:17">
      <c r="A373" t="s">
        <v>33</v>
      </c>
      <c r="B373" t="s">
        <v>29</v>
      </c>
      <c r="C373" t="s">
        <v>40</v>
      </c>
      <c r="D373" t="s">
        <v>20</v>
      </c>
      <c r="E373">
        <v>7.0000000000000007E-2</v>
      </c>
      <c r="F373">
        <v>9634.57</v>
      </c>
      <c r="G373">
        <v>0.28000000000000003</v>
      </c>
      <c r="H373">
        <v>25356</v>
      </c>
      <c r="I373">
        <v>76626</v>
      </c>
      <c r="J373">
        <v>8</v>
      </c>
      <c r="K373" t="s">
        <v>51</v>
      </c>
      <c r="L373" s="1">
        <v>44610</v>
      </c>
      <c r="M373" t="s">
        <v>92</v>
      </c>
      <c r="N373" t="s">
        <v>60</v>
      </c>
      <c r="O373">
        <v>10598.027</v>
      </c>
      <c r="P373">
        <v>963.45699999999999</v>
      </c>
      <c r="Q373">
        <v>0.38</v>
      </c>
    </row>
    <row r="374" spans="1:17">
      <c r="A374" t="s">
        <v>17</v>
      </c>
      <c r="B374" t="s">
        <v>25</v>
      </c>
      <c r="C374" t="s">
        <v>30</v>
      </c>
      <c r="D374" t="s">
        <v>42</v>
      </c>
      <c r="E374">
        <v>0.11</v>
      </c>
      <c r="F374">
        <v>5121.8</v>
      </c>
      <c r="G374">
        <v>0.57914113429112601</v>
      </c>
      <c r="H374">
        <v>7700</v>
      </c>
      <c r="I374">
        <v>26056</v>
      </c>
      <c r="J374">
        <v>1</v>
      </c>
      <c r="K374" t="s">
        <v>37</v>
      </c>
      <c r="L374" s="1">
        <v>44839</v>
      </c>
      <c r="M374" t="s">
        <v>99</v>
      </c>
      <c r="N374" t="s">
        <v>57</v>
      </c>
      <c r="O374">
        <v>5633.98</v>
      </c>
      <c r="P374">
        <v>512.17999999999995</v>
      </c>
      <c r="Q374">
        <v>0.67</v>
      </c>
    </row>
    <row r="375" spans="1:17">
      <c r="A375" t="s">
        <v>33</v>
      </c>
      <c r="B375" t="s">
        <v>18</v>
      </c>
      <c r="C375" t="s">
        <v>35</v>
      </c>
      <c r="D375" t="s">
        <v>36</v>
      </c>
      <c r="E375">
        <v>7.0000000000000007E-2</v>
      </c>
      <c r="F375">
        <v>12049.36</v>
      </c>
      <c r="G375">
        <v>4.01</v>
      </c>
      <c r="H375">
        <v>31894</v>
      </c>
      <c r="I375">
        <v>95990</v>
      </c>
      <c r="J375">
        <v>6</v>
      </c>
      <c r="K375" t="s">
        <v>51</v>
      </c>
      <c r="L375" s="1">
        <v>44870</v>
      </c>
      <c r="M375" t="s">
        <v>85</v>
      </c>
      <c r="N375" t="s">
        <v>41</v>
      </c>
      <c r="O375">
        <v>13254.296</v>
      </c>
      <c r="P375">
        <v>1204.9359999999999</v>
      </c>
      <c r="Q375">
        <v>0.38</v>
      </c>
    </row>
    <row r="376" spans="1:17">
      <c r="A376" t="s">
        <v>28</v>
      </c>
      <c r="B376" t="s">
        <v>34</v>
      </c>
      <c r="C376" t="s">
        <v>35</v>
      </c>
      <c r="D376" t="s">
        <v>42</v>
      </c>
      <c r="E376">
        <v>0.14000000000000001</v>
      </c>
      <c r="F376">
        <v>12084.01</v>
      </c>
      <c r="G376">
        <v>0.18232220894350201</v>
      </c>
      <c r="H376">
        <v>18788</v>
      </c>
      <c r="I376">
        <v>62158</v>
      </c>
      <c r="J376">
        <v>1</v>
      </c>
      <c r="K376" t="s">
        <v>46</v>
      </c>
      <c r="L376" s="1">
        <v>44836</v>
      </c>
      <c r="M376" t="s">
        <v>70</v>
      </c>
      <c r="N376" t="s">
        <v>57</v>
      </c>
      <c r="O376">
        <v>13292.411</v>
      </c>
      <c r="P376">
        <v>1208.4010000000001</v>
      </c>
      <c r="Q376">
        <v>0.64</v>
      </c>
    </row>
    <row r="377" spans="1:17">
      <c r="A377" t="s">
        <v>28</v>
      </c>
      <c r="B377" t="s">
        <v>29</v>
      </c>
      <c r="C377" t="s">
        <v>35</v>
      </c>
      <c r="D377" t="s">
        <v>50</v>
      </c>
      <c r="E377">
        <v>0.1</v>
      </c>
      <c r="F377">
        <v>15000</v>
      </c>
      <c r="G377">
        <v>5.32</v>
      </c>
      <c r="H377">
        <v>39351</v>
      </c>
      <c r="I377">
        <v>118078</v>
      </c>
      <c r="J377">
        <v>5</v>
      </c>
      <c r="K377" t="s">
        <v>37</v>
      </c>
      <c r="L377" s="1">
        <v>44731</v>
      </c>
      <c r="M377" t="s">
        <v>91</v>
      </c>
      <c r="N377" t="s">
        <v>69</v>
      </c>
      <c r="O377">
        <v>16500</v>
      </c>
      <c r="P377">
        <v>1500</v>
      </c>
      <c r="Q377">
        <v>0.38</v>
      </c>
    </row>
    <row r="378" spans="1:17">
      <c r="A378" t="s">
        <v>24</v>
      </c>
      <c r="B378" t="s">
        <v>25</v>
      </c>
      <c r="C378" t="s">
        <v>30</v>
      </c>
      <c r="D378" t="s">
        <v>42</v>
      </c>
      <c r="E378">
        <v>0.11</v>
      </c>
      <c r="F378">
        <v>5538.62</v>
      </c>
      <c r="G378">
        <v>0.411118706441231</v>
      </c>
      <c r="H378">
        <v>8361</v>
      </c>
      <c r="I378">
        <v>28208</v>
      </c>
      <c r="J378">
        <v>1</v>
      </c>
      <c r="K378" t="s">
        <v>21</v>
      </c>
      <c r="L378" s="1">
        <v>44762</v>
      </c>
      <c r="M378" t="s">
        <v>80</v>
      </c>
      <c r="N378" t="s">
        <v>23</v>
      </c>
      <c r="O378">
        <v>6092.482</v>
      </c>
      <c r="P378">
        <v>553.86199999999997</v>
      </c>
      <c r="Q378">
        <v>0.66</v>
      </c>
    </row>
    <row r="379" spans="1:17">
      <c r="A379" t="s">
        <v>45</v>
      </c>
      <c r="B379" t="s">
        <v>18</v>
      </c>
      <c r="C379" t="s">
        <v>35</v>
      </c>
      <c r="D379" t="s">
        <v>42</v>
      </c>
      <c r="E379">
        <v>0.11</v>
      </c>
      <c r="F379">
        <v>15000</v>
      </c>
      <c r="G379">
        <v>0.91339851735421396</v>
      </c>
      <c r="H379">
        <v>22844</v>
      </c>
      <c r="I379">
        <v>75364</v>
      </c>
      <c r="J379">
        <v>1</v>
      </c>
      <c r="K379" t="s">
        <v>51</v>
      </c>
      <c r="L379" s="1">
        <v>44646</v>
      </c>
      <c r="M379" t="s">
        <v>72</v>
      </c>
      <c r="N379" t="s">
        <v>81</v>
      </c>
      <c r="O379">
        <v>16500</v>
      </c>
      <c r="P379">
        <v>1500</v>
      </c>
      <c r="Q379">
        <v>0.66</v>
      </c>
    </row>
    <row r="380" spans="1:17">
      <c r="A380" t="s">
        <v>55</v>
      </c>
      <c r="B380" t="s">
        <v>18</v>
      </c>
      <c r="C380" t="s">
        <v>19</v>
      </c>
      <c r="D380" t="s">
        <v>42</v>
      </c>
      <c r="E380">
        <v>0.04</v>
      </c>
      <c r="F380">
        <v>1272.6600000000001</v>
      </c>
      <c r="G380">
        <v>1.0778459999307</v>
      </c>
      <c r="H380">
        <v>1972</v>
      </c>
      <c r="I380">
        <v>7402</v>
      </c>
      <c r="J380">
        <v>1</v>
      </c>
      <c r="K380" t="s">
        <v>37</v>
      </c>
      <c r="L380" s="1">
        <v>44702</v>
      </c>
      <c r="M380" t="s">
        <v>90</v>
      </c>
      <c r="N380" t="s">
        <v>44</v>
      </c>
      <c r="O380">
        <v>1399.9259999999999</v>
      </c>
      <c r="P380">
        <v>127.26600000000001</v>
      </c>
      <c r="Q380">
        <v>0.65</v>
      </c>
    </row>
    <row r="381" spans="1:17">
      <c r="A381" t="s">
        <v>17</v>
      </c>
      <c r="B381" t="s">
        <v>29</v>
      </c>
      <c r="C381" t="s">
        <v>30</v>
      </c>
      <c r="D381" t="s">
        <v>20</v>
      </c>
      <c r="E381">
        <v>0.05</v>
      </c>
      <c r="F381">
        <v>7428.96</v>
      </c>
      <c r="G381">
        <v>0.19</v>
      </c>
      <c r="H381">
        <v>19348</v>
      </c>
      <c r="I381">
        <v>58828</v>
      </c>
      <c r="J381">
        <v>5</v>
      </c>
      <c r="K381" t="s">
        <v>53</v>
      </c>
      <c r="L381" s="1">
        <v>44699</v>
      </c>
      <c r="M381" t="s">
        <v>83</v>
      </c>
      <c r="N381" t="s">
        <v>44</v>
      </c>
      <c r="O381">
        <v>8171.8559999999998</v>
      </c>
      <c r="P381">
        <v>742.89599999999996</v>
      </c>
      <c r="Q381">
        <v>0.38</v>
      </c>
    </row>
    <row r="382" spans="1:17">
      <c r="A382" t="s">
        <v>55</v>
      </c>
      <c r="B382" t="s">
        <v>29</v>
      </c>
      <c r="C382" t="s">
        <v>30</v>
      </c>
      <c r="D382" t="s">
        <v>20</v>
      </c>
      <c r="E382">
        <v>0.12</v>
      </c>
      <c r="F382">
        <v>7132.53</v>
      </c>
      <c r="G382">
        <v>4.32</v>
      </c>
      <c r="H382">
        <v>18557</v>
      </c>
      <c r="I382">
        <v>56487</v>
      </c>
      <c r="J382">
        <v>10</v>
      </c>
      <c r="K382" t="s">
        <v>51</v>
      </c>
      <c r="L382" s="1">
        <v>44846</v>
      </c>
      <c r="M382" t="s">
        <v>79</v>
      </c>
      <c r="N382" t="s">
        <v>57</v>
      </c>
      <c r="O382">
        <v>7845.7830000000004</v>
      </c>
      <c r="P382">
        <v>713.25300000000004</v>
      </c>
      <c r="Q382">
        <v>0.38</v>
      </c>
    </row>
    <row r="383" spans="1:17">
      <c r="A383" t="s">
        <v>45</v>
      </c>
      <c r="B383" t="s">
        <v>34</v>
      </c>
      <c r="C383" t="s">
        <v>30</v>
      </c>
      <c r="D383" t="s">
        <v>36</v>
      </c>
      <c r="E383">
        <v>0.12</v>
      </c>
      <c r="F383">
        <v>4302.2</v>
      </c>
      <c r="G383">
        <v>2.39</v>
      </c>
      <c r="H383">
        <v>10872</v>
      </c>
      <c r="I383">
        <v>33724</v>
      </c>
      <c r="J383">
        <v>8</v>
      </c>
      <c r="K383" t="s">
        <v>21</v>
      </c>
      <c r="L383" s="1">
        <v>44582</v>
      </c>
      <c r="M383" t="s">
        <v>103</v>
      </c>
      <c r="N383" t="s">
        <v>27</v>
      </c>
      <c r="O383">
        <v>4732.42</v>
      </c>
      <c r="P383">
        <v>430.22</v>
      </c>
      <c r="Q383">
        <v>0.4</v>
      </c>
    </row>
    <row r="384" spans="1:17">
      <c r="A384" t="s">
        <v>55</v>
      </c>
      <c r="B384" t="s">
        <v>18</v>
      </c>
      <c r="C384" t="s">
        <v>30</v>
      </c>
      <c r="D384" t="s">
        <v>42</v>
      </c>
      <c r="E384">
        <v>0.11</v>
      </c>
      <c r="F384">
        <v>4968.42</v>
      </c>
      <c r="G384">
        <v>1.2530183183274</v>
      </c>
      <c r="H384">
        <v>7449</v>
      </c>
      <c r="I384">
        <v>25237</v>
      </c>
      <c r="J384">
        <v>1</v>
      </c>
      <c r="K384" t="s">
        <v>37</v>
      </c>
      <c r="L384" s="1">
        <v>44673</v>
      </c>
      <c r="M384" t="s">
        <v>100</v>
      </c>
      <c r="N384" t="s">
        <v>73</v>
      </c>
      <c r="O384">
        <v>5465.2619999999997</v>
      </c>
      <c r="P384">
        <v>496.84199999999998</v>
      </c>
      <c r="Q384">
        <v>0.67</v>
      </c>
    </row>
    <row r="385" spans="1:17">
      <c r="A385" t="s">
        <v>24</v>
      </c>
      <c r="B385" t="s">
        <v>29</v>
      </c>
      <c r="C385" t="s">
        <v>35</v>
      </c>
      <c r="D385" t="s">
        <v>20</v>
      </c>
      <c r="E385">
        <v>0.09</v>
      </c>
      <c r="F385">
        <v>13788.69</v>
      </c>
      <c r="G385">
        <v>1.37</v>
      </c>
      <c r="H385">
        <v>36220</v>
      </c>
      <c r="I385">
        <v>108805</v>
      </c>
      <c r="J385">
        <v>2</v>
      </c>
      <c r="K385" t="s">
        <v>21</v>
      </c>
      <c r="L385" s="1">
        <v>44796</v>
      </c>
      <c r="M385" t="s">
        <v>48</v>
      </c>
      <c r="N385" t="s">
        <v>32</v>
      </c>
      <c r="O385">
        <v>15167.558999999999</v>
      </c>
      <c r="P385">
        <v>1378.8689999999999</v>
      </c>
      <c r="Q385">
        <v>0.38</v>
      </c>
    </row>
    <row r="386" spans="1:17">
      <c r="A386" t="s">
        <v>45</v>
      </c>
      <c r="B386" t="s">
        <v>34</v>
      </c>
      <c r="C386" t="s">
        <v>30</v>
      </c>
      <c r="D386" t="s">
        <v>50</v>
      </c>
      <c r="E386">
        <v>0.08</v>
      </c>
      <c r="F386">
        <v>4356.5</v>
      </c>
      <c r="G386">
        <v>6.24</v>
      </c>
      <c r="H386">
        <v>11013</v>
      </c>
      <c r="I386">
        <v>34140</v>
      </c>
      <c r="J386">
        <v>10</v>
      </c>
      <c r="K386" t="s">
        <v>21</v>
      </c>
      <c r="L386" s="1">
        <v>44683</v>
      </c>
      <c r="M386" t="s">
        <v>31</v>
      </c>
      <c r="N386" t="s">
        <v>44</v>
      </c>
      <c r="O386">
        <v>4792.1499999999996</v>
      </c>
      <c r="P386">
        <v>435.65</v>
      </c>
      <c r="Q386">
        <v>0.4</v>
      </c>
    </row>
    <row r="387" spans="1:17">
      <c r="A387" t="s">
        <v>39</v>
      </c>
      <c r="B387" t="s">
        <v>34</v>
      </c>
      <c r="C387" t="s">
        <v>35</v>
      </c>
      <c r="D387" t="s">
        <v>50</v>
      </c>
      <c r="E387">
        <v>0.14000000000000001</v>
      </c>
      <c r="F387">
        <v>13975.86</v>
      </c>
      <c r="G387">
        <v>7.62</v>
      </c>
      <c r="H387">
        <v>36617</v>
      </c>
      <c r="I387">
        <v>109979</v>
      </c>
      <c r="J387">
        <v>5</v>
      </c>
      <c r="K387" t="s">
        <v>51</v>
      </c>
      <c r="L387" s="1">
        <v>44756</v>
      </c>
      <c r="M387" t="s">
        <v>79</v>
      </c>
      <c r="N387" t="s">
        <v>23</v>
      </c>
      <c r="O387">
        <v>15373.446</v>
      </c>
      <c r="P387">
        <v>1397.586</v>
      </c>
      <c r="Q387">
        <v>0.38</v>
      </c>
    </row>
    <row r="388" spans="1:17">
      <c r="A388" t="s">
        <v>45</v>
      </c>
      <c r="B388" t="s">
        <v>18</v>
      </c>
      <c r="C388" t="s">
        <v>40</v>
      </c>
      <c r="D388" t="s">
        <v>50</v>
      </c>
      <c r="E388">
        <v>0.02</v>
      </c>
      <c r="F388">
        <v>7936.64</v>
      </c>
      <c r="G388">
        <v>1.1100000000000001</v>
      </c>
      <c r="H388">
        <v>20739</v>
      </c>
      <c r="I388">
        <v>62948</v>
      </c>
      <c r="J388">
        <v>3</v>
      </c>
      <c r="K388" t="s">
        <v>46</v>
      </c>
      <c r="L388" s="1">
        <v>44758</v>
      </c>
      <c r="M388" t="s">
        <v>70</v>
      </c>
      <c r="N388" t="s">
        <v>23</v>
      </c>
      <c r="O388">
        <v>8730.3040000000001</v>
      </c>
      <c r="P388">
        <v>793.66400000000101</v>
      </c>
      <c r="Q388">
        <v>0.38</v>
      </c>
    </row>
    <row r="389" spans="1:17">
      <c r="A389" t="s">
        <v>45</v>
      </c>
      <c r="B389" t="s">
        <v>18</v>
      </c>
      <c r="C389" t="s">
        <v>30</v>
      </c>
      <c r="D389" t="s">
        <v>42</v>
      </c>
      <c r="E389">
        <v>0.08</v>
      </c>
      <c r="F389">
        <v>6156</v>
      </c>
      <c r="G389">
        <v>0.78291301487503995</v>
      </c>
      <c r="H389">
        <v>9350</v>
      </c>
      <c r="I389">
        <v>31426</v>
      </c>
      <c r="J389">
        <v>1</v>
      </c>
      <c r="K389" t="s">
        <v>46</v>
      </c>
      <c r="L389" s="1">
        <v>44657</v>
      </c>
      <c r="M389" t="s">
        <v>70</v>
      </c>
      <c r="N389" t="s">
        <v>73</v>
      </c>
      <c r="O389">
        <v>6771.6</v>
      </c>
      <c r="P389">
        <v>615.6</v>
      </c>
      <c r="Q389">
        <v>0.66</v>
      </c>
    </row>
    <row r="390" spans="1:17">
      <c r="A390" t="s">
        <v>17</v>
      </c>
      <c r="B390" t="s">
        <v>18</v>
      </c>
      <c r="C390" t="s">
        <v>35</v>
      </c>
      <c r="D390" t="s">
        <v>20</v>
      </c>
      <c r="E390">
        <v>0.06</v>
      </c>
      <c r="F390">
        <v>15000</v>
      </c>
      <c r="G390">
        <v>3.68</v>
      </c>
      <c r="H390">
        <v>39418</v>
      </c>
      <c r="I390">
        <v>118276</v>
      </c>
      <c r="J390">
        <v>4</v>
      </c>
      <c r="K390" t="s">
        <v>21</v>
      </c>
      <c r="L390" s="1">
        <v>44756</v>
      </c>
      <c r="M390" t="s">
        <v>61</v>
      </c>
      <c r="N390" t="s">
        <v>23</v>
      </c>
      <c r="O390">
        <v>16500</v>
      </c>
      <c r="P390">
        <v>1500</v>
      </c>
      <c r="Q390">
        <v>0.38</v>
      </c>
    </row>
    <row r="391" spans="1:17">
      <c r="A391" t="s">
        <v>49</v>
      </c>
      <c r="B391" t="s">
        <v>18</v>
      </c>
      <c r="C391" t="s">
        <v>40</v>
      </c>
      <c r="D391" t="s">
        <v>42</v>
      </c>
      <c r="E391">
        <v>0.09</v>
      </c>
      <c r="F391">
        <v>7918.87</v>
      </c>
      <c r="G391">
        <v>0.98847236809565597</v>
      </c>
      <c r="H391">
        <v>12151</v>
      </c>
      <c r="I391">
        <v>40548</v>
      </c>
      <c r="J391">
        <v>1</v>
      </c>
      <c r="K391" t="s">
        <v>21</v>
      </c>
      <c r="L391" s="1">
        <v>44925</v>
      </c>
      <c r="M391" t="s">
        <v>26</v>
      </c>
      <c r="N391" t="s">
        <v>63</v>
      </c>
      <c r="O391">
        <v>8710.7569999999996</v>
      </c>
      <c r="P391">
        <v>791.88700000000097</v>
      </c>
      <c r="Q391">
        <v>0.65</v>
      </c>
    </row>
    <row r="392" spans="1:17">
      <c r="A392" t="s">
        <v>39</v>
      </c>
      <c r="B392" t="s">
        <v>18</v>
      </c>
      <c r="C392" t="s">
        <v>35</v>
      </c>
      <c r="D392" t="s">
        <v>42</v>
      </c>
      <c r="E392">
        <v>0.11</v>
      </c>
      <c r="F392">
        <v>12235.47</v>
      </c>
      <c r="G392">
        <v>0.20913429849401699</v>
      </c>
      <c r="H392">
        <v>19025</v>
      </c>
      <c r="I392">
        <v>62930</v>
      </c>
      <c r="J392">
        <v>1</v>
      </c>
      <c r="K392" t="s">
        <v>21</v>
      </c>
      <c r="L392" s="1">
        <v>44733</v>
      </c>
      <c r="M392" t="s">
        <v>61</v>
      </c>
      <c r="N392" t="s">
        <v>69</v>
      </c>
      <c r="O392">
        <v>13459.017</v>
      </c>
      <c r="P392">
        <v>1223.547</v>
      </c>
      <c r="Q392">
        <v>0.64</v>
      </c>
    </row>
    <row r="393" spans="1:17">
      <c r="A393" t="s">
        <v>24</v>
      </c>
      <c r="B393" t="s">
        <v>18</v>
      </c>
      <c r="C393" t="s">
        <v>19</v>
      </c>
      <c r="D393" t="s">
        <v>50</v>
      </c>
      <c r="E393">
        <v>0.08</v>
      </c>
      <c r="F393">
        <v>963.63</v>
      </c>
      <c r="G393">
        <v>6.58</v>
      </c>
      <c r="H393">
        <v>2793</v>
      </c>
      <c r="I393">
        <v>9793</v>
      </c>
      <c r="J393">
        <v>10</v>
      </c>
      <c r="K393" t="s">
        <v>37</v>
      </c>
      <c r="L393" s="1">
        <v>44838</v>
      </c>
      <c r="M393" t="s">
        <v>94</v>
      </c>
      <c r="N393" t="s">
        <v>57</v>
      </c>
      <c r="O393">
        <v>1059.9929999999999</v>
      </c>
      <c r="P393">
        <v>96.363000000000099</v>
      </c>
      <c r="Q393">
        <v>0.35</v>
      </c>
    </row>
    <row r="394" spans="1:17">
      <c r="A394" t="s">
        <v>33</v>
      </c>
      <c r="B394" t="s">
        <v>18</v>
      </c>
      <c r="C394" t="s">
        <v>19</v>
      </c>
      <c r="D394" t="s">
        <v>20</v>
      </c>
      <c r="E394">
        <v>0.05</v>
      </c>
      <c r="F394">
        <v>3006.18</v>
      </c>
      <c r="G394">
        <v>6.57</v>
      </c>
      <c r="H394">
        <v>7396</v>
      </c>
      <c r="I394">
        <v>23426</v>
      </c>
      <c r="J394">
        <v>9</v>
      </c>
      <c r="K394" t="s">
        <v>46</v>
      </c>
      <c r="L394" s="1">
        <v>44759</v>
      </c>
      <c r="M394" t="s">
        <v>96</v>
      </c>
      <c r="N394" t="s">
        <v>23</v>
      </c>
      <c r="O394">
        <v>3306.7979999999998</v>
      </c>
      <c r="P394">
        <v>300.61799999999999</v>
      </c>
      <c r="Q394">
        <v>0.41</v>
      </c>
    </row>
    <row r="395" spans="1:17">
      <c r="A395" t="s">
        <v>39</v>
      </c>
      <c r="B395" t="s">
        <v>25</v>
      </c>
      <c r="C395" t="s">
        <v>19</v>
      </c>
      <c r="D395" t="s">
        <v>42</v>
      </c>
      <c r="E395">
        <v>0.08</v>
      </c>
      <c r="F395">
        <v>3950.44</v>
      </c>
      <c r="G395">
        <v>0.16087253730309001</v>
      </c>
      <c r="H395">
        <v>5818</v>
      </c>
      <c r="I395">
        <v>19925</v>
      </c>
      <c r="J395">
        <v>1</v>
      </c>
      <c r="K395" t="s">
        <v>46</v>
      </c>
      <c r="L395" s="1">
        <v>44632</v>
      </c>
      <c r="M395" t="s">
        <v>96</v>
      </c>
      <c r="N395" t="s">
        <v>81</v>
      </c>
      <c r="O395">
        <v>4345.4840000000004</v>
      </c>
      <c r="P395">
        <v>395.04399999999998</v>
      </c>
      <c r="Q395">
        <v>0.68</v>
      </c>
    </row>
    <row r="396" spans="1:17">
      <c r="A396" t="s">
        <v>67</v>
      </c>
      <c r="B396" t="s">
        <v>25</v>
      </c>
      <c r="C396" t="s">
        <v>35</v>
      </c>
      <c r="D396" t="s">
        <v>36</v>
      </c>
      <c r="E396">
        <v>0.03</v>
      </c>
      <c r="F396">
        <v>12826.7</v>
      </c>
      <c r="G396">
        <v>0.18</v>
      </c>
      <c r="H396">
        <v>33943</v>
      </c>
      <c r="I396">
        <v>102060</v>
      </c>
      <c r="J396">
        <v>4</v>
      </c>
      <c r="K396" t="s">
        <v>46</v>
      </c>
      <c r="L396" s="1">
        <v>44573</v>
      </c>
      <c r="M396" t="s">
        <v>70</v>
      </c>
      <c r="N396" t="s">
        <v>27</v>
      </c>
      <c r="O396">
        <v>14109.37</v>
      </c>
      <c r="P396">
        <v>1282.67</v>
      </c>
      <c r="Q396">
        <v>0.38</v>
      </c>
    </row>
    <row r="397" spans="1:17">
      <c r="A397" t="s">
        <v>45</v>
      </c>
      <c r="B397" t="s">
        <v>18</v>
      </c>
      <c r="C397" t="s">
        <v>40</v>
      </c>
      <c r="D397" t="s">
        <v>50</v>
      </c>
      <c r="E397">
        <v>0.14000000000000001</v>
      </c>
      <c r="F397">
        <v>10130.92</v>
      </c>
      <c r="G397">
        <v>4.45</v>
      </c>
      <c r="H397">
        <v>26715</v>
      </c>
      <c r="I397">
        <v>80652</v>
      </c>
      <c r="J397">
        <v>5</v>
      </c>
      <c r="K397" t="s">
        <v>53</v>
      </c>
      <c r="L397" s="1">
        <v>44674</v>
      </c>
      <c r="M397" t="s">
        <v>78</v>
      </c>
      <c r="N397" t="s">
        <v>73</v>
      </c>
      <c r="O397">
        <v>11144.012000000001</v>
      </c>
      <c r="P397">
        <v>1013.092</v>
      </c>
      <c r="Q397">
        <v>0.38</v>
      </c>
    </row>
    <row r="398" spans="1:17">
      <c r="A398" t="s">
        <v>28</v>
      </c>
      <c r="B398" t="s">
        <v>29</v>
      </c>
      <c r="C398" t="s">
        <v>30</v>
      </c>
      <c r="D398" t="s">
        <v>42</v>
      </c>
      <c r="E398">
        <v>7.0000000000000007E-2</v>
      </c>
      <c r="F398">
        <v>7587.52</v>
      </c>
      <c r="G398">
        <v>0.71141410940700001</v>
      </c>
      <c r="H398">
        <v>11619</v>
      </c>
      <c r="I398">
        <v>38816</v>
      </c>
      <c r="J398">
        <v>1</v>
      </c>
      <c r="K398" t="s">
        <v>21</v>
      </c>
      <c r="L398" s="1">
        <v>44888</v>
      </c>
      <c r="M398" t="s">
        <v>43</v>
      </c>
      <c r="N398" t="s">
        <v>41</v>
      </c>
      <c r="O398">
        <v>8346.2720000000008</v>
      </c>
      <c r="P398">
        <v>758.75199999999995</v>
      </c>
      <c r="Q398">
        <v>0.65</v>
      </c>
    </row>
    <row r="399" spans="1:17">
      <c r="A399" t="s">
        <v>55</v>
      </c>
      <c r="B399" t="s">
        <v>18</v>
      </c>
      <c r="C399" t="s">
        <v>40</v>
      </c>
      <c r="D399" t="s">
        <v>50</v>
      </c>
      <c r="E399">
        <v>0.12</v>
      </c>
      <c r="F399">
        <v>7952.26</v>
      </c>
      <c r="G399">
        <v>4.4800000000000004</v>
      </c>
      <c r="H399">
        <v>20784</v>
      </c>
      <c r="I399">
        <v>63082</v>
      </c>
      <c r="J399">
        <v>10</v>
      </c>
      <c r="K399" t="s">
        <v>21</v>
      </c>
      <c r="L399" s="1">
        <v>44808</v>
      </c>
      <c r="M399" t="s">
        <v>43</v>
      </c>
      <c r="N399" t="s">
        <v>65</v>
      </c>
      <c r="O399">
        <v>8747.4860000000008</v>
      </c>
      <c r="P399">
        <v>795.226</v>
      </c>
      <c r="Q399">
        <v>0.38</v>
      </c>
    </row>
    <row r="400" spans="1:17">
      <c r="A400" t="s">
        <v>67</v>
      </c>
      <c r="B400" t="s">
        <v>34</v>
      </c>
      <c r="C400" t="s">
        <v>35</v>
      </c>
      <c r="D400" t="s">
        <v>50</v>
      </c>
      <c r="E400">
        <v>0.06</v>
      </c>
      <c r="F400">
        <v>14105.23</v>
      </c>
      <c r="G400">
        <v>3.8</v>
      </c>
      <c r="H400">
        <v>36891</v>
      </c>
      <c r="I400">
        <v>110794</v>
      </c>
      <c r="J400">
        <v>5</v>
      </c>
      <c r="K400" t="s">
        <v>46</v>
      </c>
      <c r="L400" s="1">
        <v>44818</v>
      </c>
      <c r="M400" t="s">
        <v>87</v>
      </c>
      <c r="N400" t="s">
        <v>65</v>
      </c>
      <c r="O400">
        <v>15515.753000000001</v>
      </c>
      <c r="P400">
        <v>1410.5229999999999</v>
      </c>
      <c r="Q400">
        <v>0.38</v>
      </c>
    </row>
    <row r="401" spans="1:17">
      <c r="A401" t="s">
        <v>17</v>
      </c>
      <c r="B401" t="s">
        <v>25</v>
      </c>
      <c r="C401" t="s">
        <v>30</v>
      </c>
      <c r="D401" t="s">
        <v>36</v>
      </c>
      <c r="E401">
        <v>0.04</v>
      </c>
      <c r="F401">
        <v>5641.72</v>
      </c>
      <c r="G401">
        <v>3.68</v>
      </c>
      <c r="H401">
        <v>14522</v>
      </c>
      <c r="I401">
        <v>44535</v>
      </c>
      <c r="J401">
        <v>7</v>
      </c>
      <c r="K401" t="s">
        <v>51</v>
      </c>
      <c r="L401" s="1">
        <v>44874</v>
      </c>
      <c r="M401" t="s">
        <v>52</v>
      </c>
      <c r="N401" t="s">
        <v>41</v>
      </c>
      <c r="O401">
        <v>6205.8919999999998</v>
      </c>
      <c r="P401">
        <v>564.17200000000003</v>
      </c>
      <c r="Q401">
        <v>0.39</v>
      </c>
    </row>
    <row r="402" spans="1:17">
      <c r="A402" t="s">
        <v>45</v>
      </c>
      <c r="B402" t="s">
        <v>29</v>
      </c>
      <c r="C402" t="s">
        <v>30</v>
      </c>
      <c r="D402" t="s">
        <v>42</v>
      </c>
      <c r="E402">
        <v>0.08</v>
      </c>
      <c r="F402">
        <v>4572.66</v>
      </c>
      <c r="G402">
        <v>0.32532001987958298</v>
      </c>
      <c r="H402">
        <v>6818</v>
      </c>
      <c r="I402">
        <v>23181</v>
      </c>
      <c r="J402">
        <v>1</v>
      </c>
      <c r="K402" t="s">
        <v>46</v>
      </c>
      <c r="L402" s="1">
        <v>44907</v>
      </c>
      <c r="M402" t="s">
        <v>76</v>
      </c>
      <c r="N402" t="s">
        <v>63</v>
      </c>
      <c r="O402">
        <v>5029.9260000000004</v>
      </c>
      <c r="P402">
        <v>457.26600000000002</v>
      </c>
      <c r="Q402">
        <v>0.67</v>
      </c>
    </row>
    <row r="403" spans="1:17">
      <c r="A403" t="s">
        <v>17</v>
      </c>
      <c r="B403" t="s">
        <v>18</v>
      </c>
      <c r="C403" t="s">
        <v>35</v>
      </c>
      <c r="D403" t="s">
        <v>50</v>
      </c>
      <c r="E403">
        <v>0.13</v>
      </c>
      <c r="F403">
        <v>12784.35</v>
      </c>
      <c r="G403">
        <v>1.64</v>
      </c>
      <c r="H403">
        <v>33835</v>
      </c>
      <c r="I403">
        <v>101740</v>
      </c>
      <c r="J403">
        <v>7</v>
      </c>
      <c r="K403" t="s">
        <v>53</v>
      </c>
      <c r="L403" s="1">
        <v>44742</v>
      </c>
      <c r="M403" t="s">
        <v>104</v>
      </c>
      <c r="N403" t="s">
        <v>69</v>
      </c>
      <c r="O403">
        <v>14062.785</v>
      </c>
      <c r="P403">
        <v>1278.4349999999999</v>
      </c>
      <c r="Q403">
        <v>0.38</v>
      </c>
    </row>
    <row r="404" spans="1:17">
      <c r="A404" t="s">
        <v>55</v>
      </c>
      <c r="B404" t="s">
        <v>29</v>
      </c>
      <c r="C404" t="s">
        <v>35</v>
      </c>
      <c r="D404" t="s">
        <v>20</v>
      </c>
      <c r="E404">
        <v>0.05</v>
      </c>
      <c r="F404">
        <v>11942.5</v>
      </c>
      <c r="G404">
        <v>1.41</v>
      </c>
      <c r="H404">
        <v>31621</v>
      </c>
      <c r="I404">
        <v>95182</v>
      </c>
      <c r="J404">
        <v>7</v>
      </c>
      <c r="K404" t="s">
        <v>51</v>
      </c>
      <c r="L404" s="1">
        <v>44752</v>
      </c>
      <c r="M404" t="s">
        <v>92</v>
      </c>
      <c r="N404" t="s">
        <v>23</v>
      </c>
      <c r="O404">
        <v>13136.75</v>
      </c>
      <c r="P404">
        <v>1194.25</v>
      </c>
      <c r="Q404">
        <v>0.38</v>
      </c>
    </row>
    <row r="405" spans="1:17">
      <c r="A405" t="s">
        <v>67</v>
      </c>
      <c r="B405" t="s">
        <v>34</v>
      </c>
      <c r="C405" t="s">
        <v>40</v>
      </c>
      <c r="D405" t="s">
        <v>42</v>
      </c>
      <c r="E405">
        <v>0.15</v>
      </c>
      <c r="F405">
        <v>9326.02</v>
      </c>
      <c r="G405">
        <v>0.52372948255339402</v>
      </c>
      <c r="H405">
        <v>14389</v>
      </c>
      <c r="I405">
        <v>47835</v>
      </c>
      <c r="J405">
        <v>1</v>
      </c>
      <c r="K405" t="s">
        <v>21</v>
      </c>
      <c r="L405" s="1">
        <v>44675</v>
      </c>
      <c r="M405" t="s">
        <v>22</v>
      </c>
      <c r="N405" t="s">
        <v>73</v>
      </c>
      <c r="O405">
        <v>10258.621999999999</v>
      </c>
      <c r="P405">
        <v>932.60199999999998</v>
      </c>
      <c r="Q405">
        <v>0.65</v>
      </c>
    </row>
    <row r="406" spans="1:17">
      <c r="A406" t="s">
        <v>24</v>
      </c>
      <c r="B406" t="s">
        <v>18</v>
      </c>
      <c r="C406" t="s">
        <v>40</v>
      </c>
      <c r="D406" t="s">
        <v>36</v>
      </c>
      <c r="E406">
        <v>0.14000000000000001</v>
      </c>
      <c r="F406">
        <v>11195.34</v>
      </c>
      <c r="G406">
        <v>7.94</v>
      </c>
      <c r="H406">
        <v>29612</v>
      </c>
      <c r="I406">
        <v>89232</v>
      </c>
      <c r="J406">
        <v>1</v>
      </c>
      <c r="K406" t="s">
        <v>51</v>
      </c>
      <c r="L406" s="1">
        <v>44686</v>
      </c>
      <c r="M406" t="s">
        <v>97</v>
      </c>
      <c r="N406" t="s">
        <v>44</v>
      </c>
      <c r="O406">
        <v>12314.874</v>
      </c>
      <c r="P406">
        <v>1119.5340000000001</v>
      </c>
      <c r="Q406">
        <v>0.38</v>
      </c>
    </row>
    <row r="407" spans="1:17">
      <c r="A407" t="s">
        <v>45</v>
      </c>
      <c r="B407" t="s">
        <v>18</v>
      </c>
      <c r="C407" t="s">
        <v>35</v>
      </c>
      <c r="D407" t="s">
        <v>42</v>
      </c>
      <c r="E407">
        <v>0.02</v>
      </c>
      <c r="F407">
        <v>15000</v>
      </c>
      <c r="G407">
        <v>0.20377188058391399</v>
      </c>
      <c r="H407">
        <v>22696</v>
      </c>
      <c r="I407">
        <v>74885</v>
      </c>
      <c r="J407">
        <v>1</v>
      </c>
      <c r="K407" t="s">
        <v>53</v>
      </c>
      <c r="L407" s="1">
        <v>44649</v>
      </c>
      <c r="M407" t="s">
        <v>82</v>
      </c>
      <c r="N407" t="s">
        <v>81</v>
      </c>
      <c r="O407">
        <v>16500</v>
      </c>
      <c r="P407">
        <v>1500</v>
      </c>
      <c r="Q407">
        <v>0.66</v>
      </c>
    </row>
    <row r="408" spans="1:17">
      <c r="A408" t="s">
        <v>55</v>
      </c>
      <c r="B408" t="s">
        <v>29</v>
      </c>
      <c r="C408" t="s">
        <v>35</v>
      </c>
      <c r="D408" t="s">
        <v>42</v>
      </c>
      <c r="E408">
        <v>0.14000000000000001</v>
      </c>
      <c r="F408">
        <v>15000</v>
      </c>
      <c r="G408">
        <v>0.48261761190927099</v>
      </c>
      <c r="H408">
        <v>22830</v>
      </c>
      <c r="I408">
        <v>75321</v>
      </c>
      <c r="J408">
        <v>1</v>
      </c>
      <c r="K408" t="s">
        <v>37</v>
      </c>
      <c r="L408" s="1">
        <v>44629</v>
      </c>
      <c r="M408" t="s">
        <v>74</v>
      </c>
      <c r="N408" t="s">
        <v>81</v>
      </c>
      <c r="O408">
        <v>16500</v>
      </c>
      <c r="P408">
        <v>1500</v>
      </c>
      <c r="Q408">
        <v>0.66</v>
      </c>
    </row>
    <row r="409" spans="1:17">
      <c r="A409" t="s">
        <v>45</v>
      </c>
      <c r="B409" t="s">
        <v>18</v>
      </c>
      <c r="C409" t="s">
        <v>19</v>
      </c>
      <c r="D409" t="s">
        <v>20</v>
      </c>
      <c r="E409">
        <v>0.05</v>
      </c>
      <c r="F409">
        <v>3932.96</v>
      </c>
      <c r="G409">
        <v>2.3199999999999998</v>
      </c>
      <c r="H409">
        <v>9857</v>
      </c>
      <c r="I409">
        <v>30715</v>
      </c>
      <c r="J409">
        <v>6</v>
      </c>
      <c r="K409" t="s">
        <v>21</v>
      </c>
      <c r="L409" s="1">
        <v>44798</v>
      </c>
      <c r="M409" t="s">
        <v>71</v>
      </c>
      <c r="N409" t="s">
        <v>32</v>
      </c>
      <c r="O409">
        <v>4326.2560000000003</v>
      </c>
      <c r="P409">
        <v>393.29599999999999</v>
      </c>
      <c r="Q409">
        <v>0.4</v>
      </c>
    </row>
    <row r="410" spans="1:17">
      <c r="A410" t="s">
        <v>55</v>
      </c>
      <c r="B410" t="s">
        <v>29</v>
      </c>
      <c r="C410" t="s">
        <v>30</v>
      </c>
      <c r="D410" t="s">
        <v>42</v>
      </c>
      <c r="E410">
        <v>0.01</v>
      </c>
      <c r="F410">
        <v>6433.79</v>
      </c>
      <c r="G410">
        <v>0.40218134325772598</v>
      </c>
      <c r="H410">
        <v>9789</v>
      </c>
      <c r="I410">
        <v>32854</v>
      </c>
      <c r="J410">
        <v>1</v>
      </c>
      <c r="K410" t="s">
        <v>37</v>
      </c>
      <c r="L410" s="1">
        <v>44859</v>
      </c>
      <c r="M410" t="s">
        <v>94</v>
      </c>
      <c r="N410" t="s">
        <v>57</v>
      </c>
      <c r="O410">
        <v>7077.1689999999999</v>
      </c>
      <c r="P410">
        <v>643.37900000000002</v>
      </c>
      <c r="Q410">
        <v>0.66</v>
      </c>
    </row>
    <row r="411" spans="1:17">
      <c r="A411" t="s">
        <v>28</v>
      </c>
      <c r="B411" t="s">
        <v>34</v>
      </c>
      <c r="C411" t="s">
        <v>40</v>
      </c>
      <c r="D411" t="s">
        <v>20</v>
      </c>
      <c r="E411">
        <v>0.14000000000000001</v>
      </c>
      <c r="F411">
        <v>9931.6200000000008</v>
      </c>
      <c r="G411">
        <v>6.09</v>
      </c>
      <c r="H411">
        <v>26163</v>
      </c>
      <c r="I411">
        <v>79015</v>
      </c>
      <c r="J411">
        <v>1</v>
      </c>
      <c r="K411" t="s">
        <v>53</v>
      </c>
      <c r="L411" s="1">
        <v>44812</v>
      </c>
      <c r="M411" t="s">
        <v>54</v>
      </c>
      <c r="N411" t="s">
        <v>65</v>
      </c>
      <c r="O411">
        <v>10924.781999999999</v>
      </c>
      <c r="P411">
        <v>993.16200000000003</v>
      </c>
      <c r="Q411">
        <v>0.38</v>
      </c>
    </row>
    <row r="412" spans="1:17">
      <c r="A412" t="s">
        <v>55</v>
      </c>
      <c r="B412" t="s">
        <v>18</v>
      </c>
      <c r="C412" t="s">
        <v>30</v>
      </c>
      <c r="D412" t="s">
        <v>50</v>
      </c>
      <c r="E412">
        <v>0.09</v>
      </c>
      <c r="F412">
        <v>7536.35</v>
      </c>
      <c r="G412">
        <v>4.17</v>
      </c>
      <c r="H412">
        <v>19643</v>
      </c>
      <c r="I412">
        <v>59702</v>
      </c>
      <c r="J412">
        <v>1</v>
      </c>
      <c r="K412" t="s">
        <v>53</v>
      </c>
      <c r="L412" s="1">
        <v>44755</v>
      </c>
      <c r="M412" t="s">
        <v>54</v>
      </c>
      <c r="N412" t="s">
        <v>23</v>
      </c>
      <c r="O412">
        <v>8289.9850000000006</v>
      </c>
      <c r="P412">
        <v>753.63499999999999</v>
      </c>
      <c r="Q412">
        <v>0.38</v>
      </c>
    </row>
    <row r="413" spans="1:17">
      <c r="A413" t="s">
        <v>28</v>
      </c>
      <c r="B413" t="s">
        <v>25</v>
      </c>
      <c r="C413" t="s">
        <v>40</v>
      </c>
      <c r="D413" t="s">
        <v>36</v>
      </c>
      <c r="E413">
        <v>0.02</v>
      </c>
      <c r="F413">
        <v>10133.48</v>
      </c>
      <c r="G413">
        <v>7.32</v>
      </c>
      <c r="H413">
        <v>26723</v>
      </c>
      <c r="I413">
        <v>80674</v>
      </c>
      <c r="J413">
        <v>3</v>
      </c>
      <c r="K413" t="s">
        <v>37</v>
      </c>
      <c r="L413" s="1">
        <v>44625</v>
      </c>
      <c r="M413" t="s">
        <v>99</v>
      </c>
      <c r="N413" t="s">
        <v>81</v>
      </c>
      <c r="O413">
        <v>11146.828</v>
      </c>
      <c r="P413">
        <v>1013.348</v>
      </c>
      <c r="Q413">
        <v>0.38</v>
      </c>
    </row>
    <row r="414" spans="1:17">
      <c r="A414" t="s">
        <v>39</v>
      </c>
      <c r="B414" t="s">
        <v>34</v>
      </c>
      <c r="C414" t="s">
        <v>35</v>
      </c>
      <c r="D414" t="s">
        <v>36</v>
      </c>
      <c r="E414">
        <v>0.11</v>
      </c>
      <c r="F414">
        <v>13498.73</v>
      </c>
      <c r="G414">
        <v>1.67</v>
      </c>
      <c r="H414">
        <v>35573</v>
      </c>
      <c r="I414">
        <v>106889</v>
      </c>
      <c r="J414">
        <v>4</v>
      </c>
      <c r="K414" t="s">
        <v>51</v>
      </c>
      <c r="L414" s="1">
        <v>44669</v>
      </c>
      <c r="M414" t="s">
        <v>79</v>
      </c>
      <c r="N414" t="s">
        <v>73</v>
      </c>
      <c r="O414">
        <v>14848.602999999999</v>
      </c>
      <c r="P414">
        <v>1349.873</v>
      </c>
      <c r="Q414">
        <v>0.38</v>
      </c>
    </row>
    <row r="415" spans="1:17">
      <c r="A415" t="s">
        <v>39</v>
      </c>
      <c r="B415" t="s">
        <v>18</v>
      </c>
      <c r="C415" t="s">
        <v>35</v>
      </c>
      <c r="D415" t="s">
        <v>20</v>
      </c>
      <c r="E415">
        <v>0.12</v>
      </c>
      <c r="F415">
        <v>13794.84</v>
      </c>
      <c r="G415">
        <v>0.71</v>
      </c>
      <c r="H415">
        <v>36236</v>
      </c>
      <c r="I415">
        <v>108851</v>
      </c>
      <c r="J415">
        <v>1</v>
      </c>
      <c r="K415" t="s">
        <v>51</v>
      </c>
      <c r="L415" s="1">
        <v>44899</v>
      </c>
      <c r="M415" t="s">
        <v>92</v>
      </c>
      <c r="N415" t="s">
        <v>63</v>
      </c>
      <c r="O415">
        <v>15174.324000000001</v>
      </c>
      <c r="P415">
        <v>1379.4839999999999</v>
      </c>
      <c r="Q415">
        <v>0.38</v>
      </c>
    </row>
    <row r="416" spans="1:17">
      <c r="A416" t="s">
        <v>33</v>
      </c>
      <c r="B416" t="s">
        <v>29</v>
      </c>
      <c r="C416" t="s">
        <v>40</v>
      </c>
      <c r="D416" t="s">
        <v>50</v>
      </c>
      <c r="E416">
        <v>0.03</v>
      </c>
      <c r="F416">
        <v>8613.3799999999992</v>
      </c>
      <c r="G416">
        <v>5.57</v>
      </c>
      <c r="H416">
        <v>22593</v>
      </c>
      <c r="I416">
        <v>68442</v>
      </c>
      <c r="J416">
        <v>7</v>
      </c>
      <c r="K416" t="s">
        <v>37</v>
      </c>
      <c r="L416" s="1">
        <v>44637</v>
      </c>
      <c r="M416" t="s">
        <v>94</v>
      </c>
      <c r="N416" t="s">
        <v>81</v>
      </c>
      <c r="O416">
        <v>9474.7180000000008</v>
      </c>
      <c r="P416">
        <v>861.33800000000099</v>
      </c>
      <c r="Q416">
        <v>0.38</v>
      </c>
    </row>
    <row r="417" spans="1:17">
      <c r="A417" t="s">
        <v>67</v>
      </c>
      <c r="B417" t="s">
        <v>18</v>
      </c>
      <c r="C417" t="s">
        <v>19</v>
      </c>
      <c r="D417" t="s">
        <v>42</v>
      </c>
      <c r="E417">
        <v>0.14000000000000001</v>
      </c>
      <c r="F417">
        <v>3461.28</v>
      </c>
      <c r="G417">
        <v>0.13227297511587399</v>
      </c>
      <c r="H417">
        <v>5039</v>
      </c>
      <c r="I417">
        <v>17389</v>
      </c>
      <c r="J417">
        <v>1</v>
      </c>
      <c r="K417" t="s">
        <v>51</v>
      </c>
      <c r="L417" s="1">
        <v>44746</v>
      </c>
      <c r="M417" t="s">
        <v>79</v>
      </c>
      <c r="N417" t="s">
        <v>23</v>
      </c>
      <c r="O417">
        <v>3807.4079999999999</v>
      </c>
      <c r="P417">
        <v>346.12799999999999</v>
      </c>
      <c r="Q417">
        <v>0.69</v>
      </c>
    </row>
    <row r="418" spans="1:17">
      <c r="A418" t="s">
        <v>49</v>
      </c>
      <c r="B418" t="s">
        <v>18</v>
      </c>
      <c r="C418" t="s">
        <v>35</v>
      </c>
      <c r="D418" t="s">
        <v>42</v>
      </c>
      <c r="E418">
        <v>0.01</v>
      </c>
      <c r="F418">
        <v>11565.76</v>
      </c>
      <c r="G418">
        <v>0.51836706464329096</v>
      </c>
      <c r="H418">
        <v>17986</v>
      </c>
      <c r="I418">
        <v>59546</v>
      </c>
      <c r="J418">
        <v>1</v>
      </c>
      <c r="K418" t="s">
        <v>53</v>
      </c>
      <c r="L418" s="1">
        <v>44650</v>
      </c>
      <c r="M418" t="s">
        <v>84</v>
      </c>
      <c r="N418" t="s">
        <v>81</v>
      </c>
      <c r="O418">
        <v>12722.335999999999</v>
      </c>
      <c r="P418">
        <v>1156.576</v>
      </c>
      <c r="Q418">
        <v>0.64</v>
      </c>
    </row>
    <row r="419" spans="1:17">
      <c r="A419" t="s">
        <v>17</v>
      </c>
      <c r="B419" t="s">
        <v>25</v>
      </c>
      <c r="C419" t="s">
        <v>35</v>
      </c>
      <c r="D419" t="s">
        <v>20</v>
      </c>
      <c r="E419">
        <v>0.02</v>
      </c>
      <c r="F419">
        <v>15000</v>
      </c>
      <c r="G419">
        <v>4.76</v>
      </c>
      <c r="H419">
        <v>38799</v>
      </c>
      <c r="I419">
        <v>116442</v>
      </c>
      <c r="J419">
        <v>7</v>
      </c>
      <c r="K419" t="s">
        <v>51</v>
      </c>
      <c r="L419" s="1">
        <v>44779</v>
      </c>
      <c r="M419" t="s">
        <v>92</v>
      </c>
      <c r="N419" t="s">
        <v>32</v>
      </c>
      <c r="O419">
        <v>16500</v>
      </c>
      <c r="P419">
        <v>1500</v>
      </c>
      <c r="Q419">
        <v>0.39</v>
      </c>
    </row>
    <row r="420" spans="1:17">
      <c r="A420" t="s">
        <v>49</v>
      </c>
      <c r="B420" t="s">
        <v>34</v>
      </c>
      <c r="C420" t="s">
        <v>30</v>
      </c>
      <c r="D420" t="s">
        <v>36</v>
      </c>
      <c r="E420">
        <v>0.12</v>
      </c>
      <c r="F420">
        <v>7514.02</v>
      </c>
      <c r="G420">
        <v>3.29</v>
      </c>
      <c r="H420">
        <v>19589</v>
      </c>
      <c r="I420">
        <v>59542</v>
      </c>
      <c r="J420">
        <v>6</v>
      </c>
      <c r="K420" t="s">
        <v>37</v>
      </c>
      <c r="L420" s="1">
        <v>44576</v>
      </c>
      <c r="M420" t="s">
        <v>100</v>
      </c>
      <c r="N420" t="s">
        <v>27</v>
      </c>
      <c r="O420">
        <v>8265.4220000000005</v>
      </c>
      <c r="P420">
        <v>751.40200000000004</v>
      </c>
      <c r="Q420">
        <v>0.38</v>
      </c>
    </row>
    <row r="421" spans="1:17">
      <c r="A421" t="s">
        <v>24</v>
      </c>
      <c r="B421" t="s">
        <v>25</v>
      </c>
      <c r="C421" t="s">
        <v>30</v>
      </c>
      <c r="D421" t="s">
        <v>36</v>
      </c>
      <c r="E421">
        <v>0.04</v>
      </c>
      <c r="F421">
        <v>6272.46</v>
      </c>
      <c r="G421">
        <v>4.95</v>
      </c>
      <c r="H421">
        <v>16231</v>
      </c>
      <c r="I421">
        <v>49598</v>
      </c>
      <c r="J421">
        <v>7</v>
      </c>
      <c r="K421" t="s">
        <v>46</v>
      </c>
      <c r="L421" s="1">
        <v>44817</v>
      </c>
      <c r="M421" t="s">
        <v>98</v>
      </c>
      <c r="N421" t="s">
        <v>65</v>
      </c>
      <c r="O421">
        <v>6899.7060000000001</v>
      </c>
      <c r="P421">
        <v>627.246000000001</v>
      </c>
      <c r="Q421">
        <v>0.39</v>
      </c>
    </row>
    <row r="422" spans="1:17">
      <c r="A422" t="s">
        <v>33</v>
      </c>
      <c r="B422" t="s">
        <v>34</v>
      </c>
      <c r="C422" t="s">
        <v>19</v>
      </c>
      <c r="D422" t="s">
        <v>36</v>
      </c>
      <c r="E422">
        <v>0.12</v>
      </c>
      <c r="F422">
        <v>1047.0899999999999</v>
      </c>
      <c r="G422">
        <v>6.65</v>
      </c>
      <c r="H422">
        <v>2949</v>
      </c>
      <c r="I422">
        <v>10255</v>
      </c>
      <c r="J422">
        <v>7</v>
      </c>
      <c r="K422" t="s">
        <v>21</v>
      </c>
      <c r="L422" s="1">
        <v>44790</v>
      </c>
      <c r="M422" t="s">
        <v>31</v>
      </c>
      <c r="N422" t="s">
        <v>32</v>
      </c>
      <c r="O422">
        <v>1151.799</v>
      </c>
      <c r="P422">
        <v>104.709</v>
      </c>
      <c r="Q422">
        <v>0.36</v>
      </c>
    </row>
    <row r="423" spans="1:17">
      <c r="A423" t="s">
        <v>49</v>
      </c>
      <c r="B423" t="s">
        <v>34</v>
      </c>
      <c r="C423" t="s">
        <v>30</v>
      </c>
      <c r="D423" t="s">
        <v>36</v>
      </c>
      <c r="E423">
        <v>0.05</v>
      </c>
      <c r="F423">
        <v>7192.49</v>
      </c>
      <c r="G423">
        <v>7.09</v>
      </c>
      <c r="H423">
        <v>18721</v>
      </c>
      <c r="I423">
        <v>56973</v>
      </c>
      <c r="J423">
        <v>4</v>
      </c>
      <c r="K423" t="s">
        <v>53</v>
      </c>
      <c r="L423" s="1">
        <v>44877</v>
      </c>
      <c r="M423" t="s">
        <v>58</v>
      </c>
      <c r="N423" t="s">
        <v>41</v>
      </c>
      <c r="O423">
        <v>7911.7389999999996</v>
      </c>
      <c r="P423">
        <v>719.24900000000002</v>
      </c>
      <c r="Q423">
        <v>0.38</v>
      </c>
    </row>
    <row r="424" spans="1:17">
      <c r="A424" t="s">
        <v>45</v>
      </c>
      <c r="B424" t="s">
        <v>18</v>
      </c>
      <c r="C424" t="s">
        <v>30</v>
      </c>
      <c r="D424" t="s">
        <v>50</v>
      </c>
      <c r="E424">
        <v>0.04</v>
      </c>
      <c r="F424">
        <v>4515</v>
      </c>
      <c r="G424">
        <v>3.54</v>
      </c>
      <c r="H424">
        <v>11449</v>
      </c>
      <c r="I424">
        <v>35433</v>
      </c>
      <c r="J424">
        <v>5</v>
      </c>
      <c r="K424" t="s">
        <v>53</v>
      </c>
      <c r="L424" s="1">
        <v>44736</v>
      </c>
      <c r="M424" t="s">
        <v>66</v>
      </c>
      <c r="N424" t="s">
        <v>69</v>
      </c>
      <c r="O424">
        <v>4966.5</v>
      </c>
      <c r="P424">
        <v>451.5</v>
      </c>
      <c r="Q424">
        <v>0.39</v>
      </c>
    </row>
    <row r="425" spans="1:17">
      <c r="A425" t="s">
        <v>24</v>
      </c>
      <c r="B425" t="s">
        <v>29</v>
      </c>
      <c r="C425" t="s">
        <v>30</v>
      </c>
      <c r="D425" t="s">
        <v>36</v>
      </c>
      <c r="E425">
        <v>0.13</v>
      </c>
      <c r="F425">
        <v>4251.2700000000004</v>
      </c>
      <c r="G425">
        <v>1.87</v>
      </c>
      <c r="H425">
        <v>10734</v>
      </c>
      <c r="I425">
        <v>33313</v>
      </c>
      <c r="J425">
        <v>8</v>
      </c>
      <c r="K425" t="s">
        <v>37</v>
      </c>
      <c r="L425" s="1">
        <v>44593</v>
      </c>
      <c r="M425" t="s">
        <v>91</v>
      </c>
      <c r="N425" t="s">
        <v>60</v>
      </c>
      <c r="O425">
        <v>4676.3969999999999</v>
      </c>
      <c r="P425">
        <v>425.12700000000001</v>
      </c>
      <c r="Q425">
        <v>0.4</v>
      </c>
    </row>
    <row r="426" spans="1:17">
      <c r="A426" t="s">
        <v>55</v>
      </c>
      <c r="B426" t="s">
        <v>18</v>
      </c>
      <c r="C426" t="s">
        <v>40</v>
      </c>
      <c r="D426" t="s">
        <v>36</v>
      </c>
      <c r="E426">
        <v>0.13</v>
      </c>
      <c r="F426">
        <v>11381.91</v>
      </c>
      <c r="G426">
        <v>0.68</v>
      </c>
      <c r="H426">
        <v>30115</v>
      </c>
      <c r="I426">
        <v>90722</v>
      </c>
      <c r="J426">
        <v>1</v>
      </c>
      <c r="K426" t="s">
        <v>46</v>
      </c>
      <c r="L426" s="1">
        <v>44616</v>
      </c>
      <c r="M426" t="s">
        <v>76</v>
      </c>
      <c r="N426" t="s">
        <v>60</v>
      </c>
      <c r="O426">
        <v>12520.101000000001</v>
      </c>
      <c r="P426">
        <v>1138.191</v>
      </c>
      <c r="Q426">
        <v>0.38</v>
      </c>
    </row>
    <row r="427" spans="1:17">
      <c r="A427" t="s">
        <v>33</v>
      </c>
      <c r="B427" t="s">
        <v>29</v>
      </c>
      <c r="C427" t="s">
        <v>19</v>
      </c>
      <c r="D427" t="s">
        <v>50</v>
      </c>
      <c r="E427">
        <v>0.09</v>
      </c>
      <c r="F427">
        <v>1720.4</v>
      </c>
      <c r="G427">
        <v>2.13</v>
      </c>
      <c r="H427">
        <v>4265</v>
      </c>
      <c r="I427">
        <v>14152</v>
      </c>
      <c r="J427">
        <v>2</v>
      </c>
      <c r="K427" t="s">
        <v>46</v>
      </c>
      <c r="L427" s="1">
        <v>44917</v>
      </c>
      <c r="M427" t="s">
        <v>98</v>
      </c>
      <c r="N427" t="s">
        <v>63</v>
      </c>
      <c r="O427">
        <v>1892.44</v>
      </c>
      <c r="P427">
        <v>172.04</v>
      </c>
      <c r="Q427">
        <v>0.4</v>
      </c>
    </row>
    <row r="428" spans="1:17">
      <c r="A428" t="s">
        <v>55</v>
      </c>
      <c r="B428" t="s">
        <v>34</v>
      </c>
      <c r="C428" t="s">
        <v>40</v>
      </c>
      <c r="D428" t="s">
        <v>20</v>
      </c>
      <c r="E428">
        <v>0.14000000000000001</v>
      </c>
      <c r="F428">
        <v>8140.56</v>
      </c>
      <c r="G428">
        <v>7.84</v>
      </c>
      <c r="H428">
        <v>21302</v>
      </c>
      <c r="I428">
        <v>64618</v>
      </c>
      <c r="J428">
        <v>5</v>
      </c>
      <c r="K428" t="s">
        <v>46</v>
      </c>
      <c r="L428" s="1">
        <v>44764</v>
      </c>
      <c r="M428" t="s">
        <v>87</v>
      </c>
      <c r="N428" t="s">
        <v>23</v>
      </c>
      <c r="O428">
        <v>8954.616</v>
      </c>
      <c r="P428">
        <v>814.05600000000095</v>
      </c>
      <c r="Q428">
        <v>0.38</v>
      </c>
    </row>
    <row r="429" spans="1:17">
      <c r="A429" t="s">
        <v>49</v>
      </c>
      <c r="B429" t="s">
        <v>25</v>
      </c>
      <c r="C429" t="s">
        <v>30</v>
      </c>
      <c r="D429" t="s">
        <v>42</v>
      </c>
      <c r="E429">
        <v>0.06</v>
      </c>
      <c r="F429">
        <v>5763.15</v>
      </c>
      <c r="G429">
        <v>0.21985913431422299</v>
      </c>
      <c r="H429">
        <v>8718</v>
      </c>
      <c r="I429">
        <v>29371</v>
      </c>
      <c r="J429">
        <v>1</v>
      </c>
      <c r="K429" t="s">
        <v>51</v>
      </c>
      <c r="L429" s="1">
        <v>44856</v>
      </c>
      <c r="M429" t="s">
        <v>62</v>
      </c>
      <c r="N429" t="s">
        <v>57</v>
      </c>
      <c r="O429">
        <v>6339.4650000000001</v>
      </c>
      <c r="P429">
        <v>576.31500000000005</v>
      </c>
      <c r="Q429">
        <v>0.66</v>
      </c>
    </row>
    <row r="430" spans="1:17">
      <c r="A430" t="s">
        <v>49</v>
      </c>
      <c r="B430" t="s">
        <v>29</v>
      </c>
      <c r="C430" t="s">
        <v>40</v>
      </c>
      <c r="D430" t="s">
        <v>20</v>
      </c>
      <c r="E430">
        <v>0.03</v>
      </c>
      <c r="F430">
        <v>10216.719999999999</v>
      </c>
      <c r="G430">
        <v>5.56</v>
      </c>
      <c r="H430">
        <v>26946</v>
      </c>
      <c r="I430">
        <v>81334</v>
      </c>
      <c r="J430">
        <v>10</v>
      </c>
      <c r="K430" t="s">
        <v>37</v>
      </c>
      <c r="L430" s="1">
        <v>44618</v>
      </c>
      <c r="M430" t="s">
        <v>94</v>
      </c>
      <c r="N430" t="s">
        <v>60</v>
      </c>
      <c r="O430">
        <v>11238.392</v>
      </c>
      <c r="P430">
        <v>1021.672</v>
      </c>
      <c r="Q430">
        <v>0.38</v>
      </c>
    </row>
    <row r="431" spans="1:17">
      <c r="A431" t="s">
        <v>55</v>
      </c>
      <c r="B431" t="s">
        <v>34</v>
      </c>
      <c r="C431" t="s">
        <v>19</v>
      </c>
      <c r="D431" t="s">
        <v>42</v>
      </c>
      <c r="E431">
        <v>0.12</v>
      </c>
      <c r="F431">
        <v>3985.66</v>
      </c>
      <c r="G431">
        <v>0.50942970145978606</v>
      </c>
      <c r="H431">
        <v>5874</v>
      </c>
      <c r="I431">
        <v>20109</v>
      </c>
      <c r="J431">
        <v>1</v>
      </c>
      <c r="K431" t="s">
        <v>53</v>
      </c>
      <c r="L431" s="1">
        <v>44772</v>
      </c>
      <c r="M431" t="s">
        <v>78</v>
      </c>
      <c r="N431" t="s">
        <v>23</v>
      </c>
      <c r="O431">
        <v>4384.2259999999997</v>
      </c>
      <c r="P431">
        <v>398.56599999999997</v>
      </c>
      <c r="Q431">
        <v>0.68</v>
      </c>
    </row>
    <row r="432" spans="1:17">
      <c r="A432" t="s">
        <v>55</v>
      </c>
      <c r="B432" t="s">
        <v>29</v>
      </c>
      <c r="C432" t="s">
        <v>30</v>
      </c>
      <c r="D432" t="s">
        <v>50</v>
      </c>
      <c r="E432">
        <v>0.02</v>
      </c>
      <c r="F432">
        <v>5625.57</v>
      </c>
      <c r="G432">
        <v>5.12</v>
      </c>
      <c r="H432">
        <v>14480</v>
      </c>
      <c r="I432">
        <v>44411</v>
      </c>
      <c r="J432">
        <v>3</v>
      </c>
      <c r="K432" t="s">
        <v>51</v>
      </c>
      <c r="L432" s="1">
        <v>44744</v>
      </c>
      <c r="M432" t="s">
        <v>72</v>
      </c>
      <c r="N432" t="s">
        <v>23</v>
      </c>
      <c r="O432">
        <v>6188.1270000000004</v>
      </c>
      <c r="P432">
        <v>562.55700000000002</v>
      </c>
      <c r="Q432">
        <v>0.39</v>
      </c>
    </row>
    <row r="433" spans="1:17">
      <c r="A433" t="s">
        <v>17</v>
      </c>
      <c r="B433" t="s">
        <v>25</v>
      </c>
      <c r="C433" t="s">
        <v>19</v>
      </c>
      <c r="D433" t="s">
        <v>42</v>
      </c>
      <c r="E433">
        <v>0.15</v>
      </c>
      <c r="F433">
        <v>526.75</v>
      </c>
      <c r="G433">
        <v>0.56484135319751805</v>
      </c>
      <c r="H433">
        <v>1246</v>
      </c>
      <c r="I433">
        <v>5040</v>
      </c>
      <c r="J433">
        <v>1</v>
      </c>
      <c r="K433" t="s">
        <v>21</v>
      </c>
      <c r="L433" s="1">
        <v>44830</v>
      </c>
      <c r="M433" t="s">
        <v>77</v>
      </c>
      <c r="N433" t="s">
        <v>65</v>
      </c>
      <c r="O433">
        <v>579.42499999999995</v>
      </c>
      <c r="P433">
        <v>52.674999999999997</v>
      </c>
      <c r="Q433">
        <v>0.42</v>
      </c>
    </row>
    <row r="434" spans="1:17">
      <c r="A434" t="s">
        <v>55</v>
      </c>
      <c r="B434" t="s">
        <v>34</v>
      </c>
      <c r="C434" t="s">
        <v>35</v>
      </c>
      <c r="D434" t="s">
        <v>36</v>
      </c>
      <c r="E434">
        <v>0.11</v>
      </c>
      <c r="F434">
        <v>13390.07</v>
      </c>
      <c r="G434">
        <v>3.89</v>
      </c>
      <c r="H434">
        <v>35323</v>
      </c>
      <c r="I434">
        <v>106147</v>
      </c>
      <c r="J434">
        <v>3</v>
      </c>
      <c r="K434" t="s">
        <v>46</v>
      </c>
      <c r="L434" s="1">
        <v>44763</v>
      </c>
      <c r="M434" t="s">
        <v>96</v>
      </c>
      <c r="N434" t="s">
        <v>23</v>
      </c>
      <c r="O434">
        <v>14729.076999999999</v>
      </c>
      <c r="P434">
        <v>1339.0070000000001</v>
      </c>
      <c r="Q434">
        <v>0.38</v>
      </c>
    </row>
    <row r="435" spans="1:17">
      <c r="A435" t="s">
        <v>17</v>
      </c>
      <c r="B435" t="s">
        <v>25</v>
      </c>
      <c r="C435" t="s">
        <v>30</v>
      </c>
      <c r="D435" t="s">
        <v>42</v>
      </c>
      <c r="E435">
        <v>0.09</v>
      </c>
      <c r="F435">
        <v>5137.71</v>
      </c>
      <c r="G435">
        <v>0.41290617907793198</v>
      </c>
      <c r="H435">
        <v>7727</v>
      </c>
      <c r="I435">
        <v>26143</v>
      </c>
      <c r="J435">
        <v>1</v>
      </c>
      <c r="K435" t="s">
        <v>46</v>
      </c>
      <c r="L435" s="1">
        <v>44852</v>
      </c>
      <c r="M435" t="s">
        <v>47</v>
      </c>
      <c r="N435" t="s">
        <v>57</v>
      </c>
      <c r="O435">
        <v>5651.4809999999998</v>
      </c>
      <c r="P435">
        <v>513.77099999999996</v>
      </c>
      <c r="Q435">
        <v>0.66</v>
      </c>
    </row>
    <row r="436" spans="1:17">
      <c r="A436" t="s">
        <v>28</v>
      </c>
      <c r="B436" t="s">
        <v>34</v>
      </c>
      <c r="C436" t="s">
        <v>30</v>
      </c>
      <c r="D436" t="s">
        <v>50</v>
      </c>
      <c r="E436">
        <v>0.13</v>
      </c>
      <c r="F436">
        <v>6759.6</v>
      </c>
      <c r="G436">
        <v>2.29</v>
      </c>
      <c r="H436">
        <v>17541</v>
      </c>
      <c r="I436">
        <v>53475</v>
      </c>
      <c r="J436">
        <v>2</v>
      </c>
      <c r="K436" t="s">
        <v>51</v>
      </c>
      <c r="L436" s="1">
        <v>44880</v>
      </c>
      <c r="M436" t="s">
        <v>52</v>
      </c>
      <c r="N436" t="s">
        <v>41</v>
      </c>
      <c r="O436">
        <v>7435.56</v>
      </c>
      <c r="P436">
        <v>675.96000000000095</v>
      </c>
      <c r="Q436">
        <v>0.39</v>
      </c>
    </row>
    <row r="437" spans="1:17">
      <c r="A437" t="s">
        <v>49</v>
      </c>
      <c r="B437" t="s">
        <v>25</v>
      </c>
      <c r="C437" t="s">
        <v>30</v>
      </c>
      <c r="D437" t="s">
        <v>36</v>
      </c>
      <c r="E437">
        <v>0.03</v>
      </c>
      <c r="F437">
        <v>4383.2</v>
      </c>
      <c r="G437">
        <v>5.71</v>
      </c>
      <c r="H437">
        <v>11091</v>
      </c>
      <c r="I437">
        <v>34372</v>
      </c>
      <c r="J437">
        <v>8</v>
      </c>
      <c r="K437" t="s">
        <v>46</v>
      </c>
      <c r="L437" s="1">
        <v>44761</v>
      </c>
      <c r="M437" t="s">
        <v>47</v>
      </c>
      <c r="N437" t="s">
        <v>23</v>
      </c>
      <c r="O437">
        <v>4821.5200000000004</v>
      </c>
      <c r="P437">
        <v>438.32</v>
      </c>
      <c r="Q437">
        <v>0.4</v>
      </c>
    </row>
    <row r="438" spans="1:17">
      <c r="A438" t="s">
        <v>67</v>
      </c>
      <c r="B438" t="s">
        <v>25</v>
      </c>
      <c r="C438" t="s">
        <v>35</v>
      </c>
      <c r="D438" t="s">
        <v>36</v>
      </c>
      <c r="E438">
        <v>0.12</v>
      </c>
      <c r="F438">
        <v>13171.29</v>
      </c>
      <c r="G438">
        <v>0.6</v>
      </c>
      <c r="H438">
        <v>34802</v>
      </c>
      <c r="I438">
        <v>104603</v>
      </c>
      <c r="J438">
        <v>2</v>
      </c>
      <c r="K438" t="s">
        <v>51</v>
      </c>
      <c r="L438" s="1">
        <v>44877</v>
      </c>
      <c r="M438" t="s">
        <v>52</v>
      </c>
      <c r="N438" t="s">
        <v>41</v>
      </c>
      <c r="O438">
        <v>14488.419</v>
      </c>
      <c r="P438">
        <v>1317.1289999999999</v>
      </c>
      <c r="Q438">
        <v>0.38</v>
      </c>
    </row>
    <row r="439" spans="1:17">
      <c r="A439" t="s">
        <v>33</v>
      </c>
      <c r="B439" t="s">
        <v>25</v>
      </c>
      <c r="C439" t="s">
        <v>19</v>
      </c>
      <c r="D439" t="s">
        <v>36</v>
      </c>
      <c r="E439">
        <v>0.12</v>
      </c>
      <c r="F439">
        <v>3985.01</v>
      </c>
      <c r="G439">
        <v>0.3</v>
      </c>
      <c r="H439">
        <v>10000</v>
      </c>
      <c r="I439">
        <v>31140</v>
      </c>
      <c r="J439">
        <v>2</v>
      </c>
      <c r="K439" t="s">
        <v>21</v>
      </c>
      <c r="L439" s="1">
        <v>44688</v>
      </c>
      <c r="M439" t="s">
        <v>31</v>
      </c>
      <c r="N439" t="s">
        <v>44</v>
      </c>
      <c r="O439">
        <v>4383.5110000000004</v>
      </c>
      <c r="P439">
        <v>398.50099999999998</v>
      </c>
      <c r="Q439">
        <v>0.4</v>
      </c>
    </row>
    <row r="440" spans="1:17">
      <c r="A440" t="s">
        <v>45</v>
      </c>
      <c r="B440" t="s">
        <v>29</v>
      </c>
      <c r="C440" t="s">
        <v>30</v>
      </c>
      <c r="D440" t="s">
        <v>20</v>
      </c>
      <c r="E440">
        <v>0.04</v>
      </c>
      <c r="F440">
        <v>5001.3599999999997</v>
      </c>
      <c r="G440">
        <v>0.65</v>
      </c>
      <c r="H440">
        <v>12775</v>
      </c>
      <c r="I440">
        <v>39361</v>
      </c>
      <c r="J440">
        <v>9</v>
      </c>
      <c r="K440" t="s">
        <v>37</v>
      </c>
      <c r="L440" s="1">
        <v>44739</v>
      </c>
      <c r="M440" t="s">
        <v>100</v>
      </c>
      <c r="N440" t="s">
        <v>69</v>
      </c>
      <c r="O440">
        <v>5501.4960000000001</v>
      </c>
      <c r="P440">
        <v>500.13600000000002</v>
      </c>
      <c r="Q440">
        <v>0.39</v>
      </c>
    </row>
    <row r="441" spans="1:17">
      <c r="A441" t="s">
        <v>17</v>
      </c>
      <c r="B441" t="s">
        <v>25</v>
      </c>
      <c r="C441" t="s">
        <v>19</v>
      </c>
      <c r="D441" t="s">
        <v>42</v>
      </c>
      <c r="E441">
        <v>0.04</v>
      </c>
      <c r="F441">
        <v>3315.83</v>
      </c>
      <c r="G441">
        <v>0.80615015915215305</v>
      </c>
      <c r="H441">
        <v>4817</v>
      </c>
      <c r="I441">
        <v>16667</v>
      </c>
      <c r="J441">
        <v>1</v>
      </c>
      <c r="K441" t="s">
        <v>53</v>
      </c>
      <c r="L441" s="1">
        <v>44565</v>
      </c>
      <c r="M441" t="s">
        <v>68</v>
      </c>
      <c r="N441" t="s">
        <v>27</v>
      </c>
      <c r="O441">
        <v>3647.413</v>
      </c>
      <c r="P441">
        <v>331.58300000000003</v>
      </c>
      <c r="Q441">
        <v>0.69</v>
      </c>
    </row>
    <row r="442" spans="1:17">
      <c r="A442" t="s">
        <v>45</v>
      </c>
      <c r="B442" t="s">
        <v>34</v>
      </c>
      <c r="C442" t="s">
        <v>35</v>
      </c>
      <c r="D442" t="s">
        <v>50</v>
      </c>
      <c r="E442">
        <v>0.09</v>
      </c>
      <c r="F442">
        <v>14166.73</v>
      </c>
      <c r="G442">
        <v>0.97</v>
      </c>
      <c r="H442">
        <v>37012</v>
      </c>
      <c r="I442">
        <v>111150</v>
      </c>
      <c r="J442">
        <v>10</v>
      </c>
      <c r="K442" t="s">
        <v>53</v>
      </c>
      <c r="L442" s="1">
        <v>44642</v>
      </c>
      <c r="M442" t="s">
        <v>58</v>
      </c>
      <c r="N442" t="s">
        <v>81</v>
      </c>
      <c r="O442">
        <v>15583.403</v>
      </c>
      <c r="P442">
        <v>1416.673</v>
      </c>
      <c r="Q442">
        <v>0.38</v>
      </c>
    </row>
    <row r="443" spans="1:17">
      <c r="A443" t="s">
        <v>45</v>
      </c>
      <c r="B443" t="s">
        <v>29</v>
      </c>
      <c r="C443" t="s">
        <v>40</v>
      </c>
      <c r="D443" t="s">
        <v>50</v>
      </c>
      <c r="E443">
        <v>0.09</v>
      </c>
      <c r="F443">
        <v>7804.76</v>
      </c>
      <c r="G443">
        <v>6.04</v>
      </c>
      <c r="H443">
        <v>20382</v>
      </c>
      <c r="I443">
        <v>61893</v>
      </c>
      <c r="J443">
        <v>7</v>
      </c>
      <c r="K443" t="s">
        <v>51</v>
      </c>
      <c r="L443" s="1">
        <v>44564</v>
      </c>
      <c r="M443" t="s">
        <v>101</v>
      </c>
      <c r="N443" t="s">
        <v>27</v>
      </c>
      <c r="O443">
        <v>8585.2360000000008</v>
      </c>
      <c r="P443">
        <v>780.476</v>
      </c>
      <c r="Q443">
        <v>0.38</v>
      </c>
    </row>
    <row r="444" spans="1:17">
      <c r="A444" t="s">
        <v>33</v>
      </c>
      <c r="B444" t="s">
        <v>18</v>
      </c>
      <c r="C444" t="s">
        <v>30</v>
      </c>
      <c r="D444" t="s">
        <v>20</v>
      </c>
      <c r="E444">
        <v>0.08</v>
      </c>
      <c r="F444">
        <v>4882.4399999999996</v>
      </c>
      <c r="G444">
        <v>0.37</v>
      </c>
      <c r="H444">
        <v>12450</v>
      </c>
      <c r="I444">
        <v>38397</v>
      </c>
      <c r="J444">
        <v>3</v>
      </c>
      <c r="K444" t="s">
        <v>21</v>
      </c>
      <c r="L444" s="1">
        <v>44839</v>
      </c>
      <c r="M444" t="s">
        <v>80</v>
      </c>
      <c r="N444" t="s">
        <v>57</v>
      </c>
      <c r="O444">
        <v>5370.6840000000002</v>
      </c>
      <c r="P444">
        <v>488.24400000000003</v>
      </c>
      <c r="Q444">
        <v>0.39</v>
      </c>
    </row>
    <row r="445" spans="1:17">
      <c r="A445" t="s">
        <v>67</v>
      </c>
      <c r="B445" t="s">
        <v>25</v>
      </c>
      <c r="C445" t="s">
        <v>35</v>
      </c>
      <c r="D445" t="s">
        <v>20</v>
      </c>
      <c r="E445">
        <v>0.09</v>
      </c>
      <c r="F445">
        <v>14054.41</v>
      </c>
      <c r="G445">
        <v>7.07</v>
      </c>
      <c r="H445">
        <v>36785</v>
      </c>
      <c r="I445">
        <v>110478</v>
      </c>
      <c r="J445">
        <v>3</v>
      </c>
      <c r="K445" t="s">
        <v>53</v>
      </c>
      <c r="L445" s="1">
        <v>44683</v>
      </c>
      <c r="M445" t="s">
        <v>82</v>
      </c>
      <c r="N445" t="s">
        <v>44</v>
      </c>
      <c r="O445">
        <v>15459.851000000001</v>
      </c>
      <c r="P445">
        <v>1405.441</v>
      </c>
      <c r="Q445">
        <v>0.38</v>
      </c>
    </row>
    <row r="446" spans="1:17">
      <c r="A446" t="s">
        <v>28</v>
      </c>
      <c r="B446" t="s">
        <v>29</v>
      </c>
      <c r="C446" t="s">
        <v>30</v>
      </c>
      <c r="D446" t="s">
        <v>50</v>
      </c>
      <c r="E446">
        <v>0.06</v>
      </c>
      <c r="F446">
        <v>4235.91</v>
      </c>
      <c r="G446">
        <v>5.4</v>
      </c>
      <c r="H446">
        <v>10694</v>
      </c>
      <c r="I446">
        <v>33195</v>
      </c>
      <c r="J446">
        <v>9</v>
      </c>
      <c r="K446" t="s">
        <v>51</v>
      </c>
      <c r="L446" s="1">
        <v>44908</v>
      </c>
      <c r="M446" t="s">
        <v>59</v>
      </c>
      <c r="N446" t="s">
        <v>63</v>
      </c>
      <c r="O446">
        <v>4659.5010000000002</v>
      </c>
      <c r="P446">
        <v>423.59100000000001</v>
      </c>
      <c r="Q446">
        <v>0.4</v>
      </c>
    </row>
    <row r="447" spans="1:17">
      <c r="A447" t="s">
        <v>24</v>
      </c>
      <c r="B447" t="s">
        <v>29</v>
      </c>
      <c r="C447" t="s">
        <v>19</v>
      </c>
      <c r="D447" t="s">
        <v>20</v>
      </c>
      <c r="E447">
        <v>0.02</v>
      </c>
      <c r="F447">
        <v>2935.93</v>
      </c>
      <c r="G447">
        <v>2.3199999999999998</v>
      </c>
      <c r="H447">
        <v>7208</v>
      </c>
      <c r="I447">
        <v>22869</v>
      </c>
      <c r="J447">
        <v>10</v>
      </c>
      <c r="K447" t="s">
        <v>37</v>
      </c>
      <c r="L447" s="1">
        <v>44758</v>
      </c>
      <c r="M447" t="s">
        <v>94</v>
      </c>
      <c r="N447" t="s">
        <v>23</v>
      </c>
      <c r="O447">
        <v>3229.5230000000001</v>
      </c>
      <c r="P447">
        <v>293.59300000000002</v>
      </c>
      <c r="Q447">
        <v>0.41</v>
      </c>
    </row>
    <row r="448" spans="1:17">
      <c r="A448" t="s">
        <v>17</v>
      </c>
      <c r="B448" t="s">
        <v>34</v>
      </c>
      <c r="C448" t="s">
        <v>30</v>
      </c>
      <c r="D448" t="s">
        <v>36</v>
      </c>
      <c r="E448">
        <v>0.1</v>
      </c>
      <c r="F448">
        <v>4652.4399999999996</v>
      </c>
      <c r="G448">
        <v>7.96</v>
      </c>
      <c r="H448">
        <v>11823</v>
      </c>
      <c r="I448">
        <v>36541</v>
      </c>
      <c r="J448">
        <v>3</v>
      </c>
      <c r="K448" t="s">
        <v>53</v>
      </c>
      <c r="L448" s="1">
        <v>44612</v>
      </c>
      <c r="M448" t="s">
        <v>66</v>
      </c>
      <c r="N448" t="s">
        <v>60</v>
      </c>
      <c r="O448">
        <v>5117.6840000000002</v>
      </c>
      <c r="P448">
        <v>465.24400000000003</v>
      </c>
      <c r="Q448">
        <v>0.39</v>
      </c>
    </row>
    <row r="449" spans="1:17">
      <c r="A449" t="s">
        <v>49</v>
      </c>
      <c r="B449" t="s">
        <v>25</v>
      </c>
      <c r="C449" t="s">
        <v>40</v>
      </c>
      <c r="D449" t="s">
        <v>50</v>
      </c>
      <c r="E449">
        <v>0.01</v>
      </c>
      <c r="F449">
        <v>10319.48</v>
      </c>
      <c r="G449">
        <v>2.57</v>
      </c>
      <c r="H449">
        <v>27218</v>
      </c>
      <c r="I449">
        <v>82141</v>
      </c>
      <c r="J449">
        <v>10</v>
      </c>
      <c r="K449" t="s">
        <v>53</v>
      </c>
      <c r="L449" s="1">
        <v>44754</v>
      </c>
      <c r="M449" t="s">
        <v>66</v>
      </c>
      <c r="N449" t="s">
        <v>23</v>
      </c>
      <c r="O449">
        <v>11351.428</v>
      </c>
      <c r="P449">
        <v>1031.9480000000001</v>
      </c>
      <c r="Q449">
        <v>0.38</v>
      </c>
    </row>
    <row r="450" spans="1:17">
      <c r="A450" t="s">
        <v>24</v>
      </c>
      <c r="B450" t="s">
        <v>25</v>
      </c>
      <c r="C450" t="s">
        <v>19</v>
      </c>
      <c r="D450" t="s">
        <v>36</v>
      </c>
      <c r="E450">
        <v>0.15</v>
      </c>
      <c r="F450">
        <v>3031.44</v>
      </c>
      <c r="G450">
        <v>7.15</v>
      </c>
      <c r="H450">
        <v>7464</v>
      </c>
      <c r="I450">
        <v>23628</v>
      </c>
      <c r="J450">
        <v>7</v>
      </c>
      <c r="K450" t="s">
        <v>53</v>
      </c>
      <c r="L450" s="1">
        <v>44644</v>
      </c>
      <c r="M450" t="s">
        <v>68</v>
      </c>
      <c r="N450" t="s">
        <v>81</v>
      </c>
      <c r="O450">
        <v>3334.5839999999998</v>
      </c>
      <c r="P450">
        <v>303.14400000000001</v>
      </c>
      <c r="Q450">
        <v>0.41</v>
      </c>
    </row>
    <row r="451" spans="1:17">
      <c r="A451" t="s">
        <v>24</v>
      </c>
      <c r="B451" t="s">
        <v>29</v>
      </c>
      <c r="C451" t="s">
        <v>40</v>
      </c>
      <c r="D451" t="s">
        <v>36</v>
      </c>
      <c r="E451">
        <v>0.13</v>
      </c>
      <c r="F451">
        <v>7879.7</v>
      </c>
      <c r="G451">
        <v>6.11</v>
      </c>
      <c r="H451">
        <v>20581</v>
      </c>
      <c r="I451">
        <v>62482</v>
      </c>
      <c r="J451">
        <v>3</v>
      </c>
      <c r="K451" t="s">
        <v>37</v>
      </c>
      <c r="L451" s="1">
        <v>44804</v>
      </c>
      <c r="M451" t="s">
        <v>99</v>
      </c>
      <c r="N451" t="s">
        <v>32</v>
      </c>
      <c r="O451">
        <v>8667.67</v>
      </c>
      <c r="P451">
        <v>787.97</v>
      </c>
      <c r="Q451">
        <v>0.38</v>
      </c>
    </row>
    <row r="452" spans="1:17">
      <c r="A452" t="s">
        <v>39</v>
      </c>
      <c r="B452" t="s">
        <v>34</v>
      </c>
      <c r="C452" t="s">
        <v>30</v>
      </c>
      <c r="D452" t="s">
        <v>42</v>
      </c>
      <c r="E452">
        <v>7.0000000000000007E-2</v>
      </c>
      <c r="F452">
        <v>7560.31</v>
      </c>
      <c r="G452">
        <v>0.24488375122803699</v>
      </c>
      <c r="H452">
        <v>11575</v>
      </c>
      <c r="I452">
        <v>38674</v>
      </c>
      <c r="J452">
        <v>1</v>
      </c>
      <c r="K452" t="s">
        <v>46</v>
      </c>
      <c r="L452" s="1">
        <v>44656</v>
      </c>
      <c r="M452" t="s">
        <v>47</v>
      </c>
      <c r="N452" t="s">
        <v>73</v>
      </c>
      <c r="O452">
        <v>8316.3410000000003</v>
      </c>
      <c r="P452">
        <v>756.03099999999995</v>
      </c>
      <c r="Q452">
        <v>0.65</v>
      </c>
    </row>
    <row r="453" spans="1:17">
      <c r="A453" t="s">
        <v>17</v>
      </c>
      <c r="B453" t="s">
        <v>34</v>
      </c>
      <c r="C453" t="s">
        <v>30</v>
      </c>
      <c r="D453" t="s">
        <v>42</v>
      </c>
      <c r="E453">
        <v>0.08</v>
      </c>
      <c r="F453">
        <v>6962.07</v>
      </c>
      <c r="G453">
        <v>1.7874726367009999E-2</v>
      </c>
      <c r="H453">
        <v>10627</v>
      </c>
      <c r="I453">
        <v>35584</v>
      </c>
      <c r="J453">
        <v>1</v>
      </c>
      <c r="K453" t="s">
        <v>53</v>
      </c>
      <c r="L453" s="1">
        <v>44888</v>
      </c>
      <c r="M453" t="s">
        <v>66</v>
      </c>
      <c r="N453" t="s">
        <v>41</v>
      </c>
      <c r="O453">
        <v>7658.277</v>
      </c>
      <c r="P453">
        <v>696.20699999999999</v>
      </c>
      <c r="Q453">
        <v>0.66</v>
      </c>
    </row>
    <row r="454" spans="1:17">
      <c r="A454" t="s">
        <v>17</v>
      </c>
      <c r="B454" t="s">
        <v>18</v>
      </c>
      <c r="C454" t="s">
        <v>30</v>
      </c>
      <c r="D454" t="s">
        <v>20</v>
      </c>
      <c r="E454">
        <v>0.05</v>
      </c>
      <c r="F454">
        <v>5954.27</v>
      </c>
      <c r="G454">
        <v>6.26</v>
      </c>
      <c r="H454">
        <v>15381</v>
      </c>
      <c r="I454">
        <v>47079</v>
      </c>
      <c r="J454">
        <v>4</v>
      </c>
      <c r="K454" t="s">
        <v>21</v>
      </c>
      <c r="L454" s="1">
        <v>44785</v>
      </c>
      <c r="M454" t="s">
        <v>77</v>
      </c>
      <c r="N454" t="s">
        <v>32</v>
      </c>
      <c r="O454">
        <v>6549.6970000000001</v>
      </c>
      <c r="P454">
        <v>595.42700000000002</v>
      </c>
      <c r="Q454">
        <v>0.39</v>
      </c>
    </row>
    <row r="455" spans="1:17">
      <c r="A455" t="s">
        <v>49</v>
      </c>
      <c r="B455" t="s">
        <v>18</v>
      </c>
      <c r="C455" t="s">
        <v>40</v>
      </c>
      <c r="D455" t="s">
        <v>50</v>
      </c>
      <c r="E455">
        <v>7.0000000000000007E-2</v>
      </c>
      <c r="F455">
        <v>10984.08</v>
      </c>
      <c r="G455">
        <v>4.74</v>
      </c>
      <c r="H455">
        <v>29026</v>
      </c>
      <c r="I455">
        <v>87495</v>
      </c>
      <c r="J455">
        <v>6</v>
      </c>
      <c r="K455" t="s">
        <v>51</v>
      </c>
      <c r="L455" s="1">
        <v>44747</v>
      </c>
      <c r="M455" t="s">
        <v>72</v>
      </c>
      <c r="N455" t="s">
        <v>23</v>
      </c>
      <c r="O455">
        <v>12082.487999999999</v>
      </c>
      <c r="P455">
        <v>1098.4079999999999</v>
      </c>
      <c r="Q455">
        <v>0.38</v>
      </c>
    </row>
    <row r="456" spans="1:17">
      <c r="A456" t="s">
        <v>45</v>
      </c>
      <c r="B456" t="s">
        <v>18</v>
      </c>
      <c r="C456" t="s">
        <v>40</v>
      </c>
      <c r="D456" t="s">
        <v>20</v>
      </c>
      <c r="E456">
        <v>0.04</v>
      </c>
      <c r="F456">
        <v>8913.85</v>
      </c>
      <c r="G456">
        <v>3.23</v>
      </c>
      <c r="H456">
        <v>23394</v>
      </c>
      <c r="I456">
        <v>70812</v>
      </c>
      <c r="J456">
        <v>10</v>
      </c>
      <c r="K456" t="s">
        <v>51</v>
      </c>
      <c r="L456" s="1">
        <v>44643</v>
      </c>
      <c r="M456" t="s">
        <v>72</v>
      </c>
      <c r="N456" t="s">
        <v>81</v>
      </c>
      <c r="O456">
        <v>9805.2350000000006</v>
      </c>
      <c r="P456">
        <v>891.38499999999999</v>
      </c>
      <c r="Q456">
        <v>0.38</v>
      </c>
    </row>
    <row r="457" spans="1:17">
      <c r="A457" t="s">
        <v>17</v>
      </c>
      <c r="B457" t="s">
        <v>25</v>
      </c>
      <c r="C457" t="s">
        <v>19</v>
      </c>
      <c r="D457" t="s">
        <v>20</v>
      </c>
      <c r="E457">
        <v>0.1</v>
      </c>
      <c r="F457">
        <v>4071.94</v>
      </c>
      <c r="G457">
        <v>0.87</v>
      </c>
      <c r="H457">
        <v>10237</v>
      </c>
      <c r="I457">
        <v>31842</v>
      </c>
      <c r="J457">
        <v>2</v>
      </c>
      <c r="K457" t="s">
        <v>46</v>
      </c>
      <c r="L457" s="1">
        <v>44697</v>
      </c>
      <c r="M457" t="s">
        <v>96</v>
      </c>
      <c r="N457" t="s">
        <v>44</v>
      </c>
      <c r="O457">
        <v>4479.134</v>
      </c>
      <c r="P457">
        <v>407.19399999999899</v>
      </c>
      <c r="Q457">
        <v>0.4</v>
      </c>
    </row>
    <row r="458" spans="1:17">
      <c r="A458" t="s">
        <v>39</v>
      </c>
      <c r="B458" t="s">
        <v>25</v>
      </c>
      <c r="C458" t="s">
        <v>35</v>
      </c>
      <c r="D458" t="s">
        <v>20</v>
      </c>
      <c r="E458">
        <v>0.08</v>
      </c>
      <c r="F458">
        <v>13005.14</v>
      </c>
      <c r="G458">
        <v>0.78</v>
      </c>
      <c r="H458">
        <v>34390</v>
      </c>
      <c r="I458">
        <v>103385</v>
      </c>
      <c r="J458">
        <v>7</v>
      </c>
      <c r="K458" t="s">
        <v>53</v>
      </c>
      <c r="L458" s="1">
        <v>44610</v>
      </c>
      <c r="M458" t="s">
        <v>54</v>
      </c>
      <c r="N458" t="s">
        <v>60</v>
      </c>
      <c r="O458">
        <v>14305.654</v>
      </c>
      <c r="P458">
        <v>1300.5139999999999</v>
      </c>
      <c r="Q458">
        <v>0.38</v>
      </c>
    </row>
    <row r="459" spans="1:17">
      <c r="A459" t="s">
        <v>24</v>
      </c>
      <c r="B459" t="s">
        <v>29</v>
      </c>
      <c r="C459" t="s">
        <v>30</v>
      </c>
      <c r="D459" t="s">
        <v>42</v>
      </c>
      <c r="E459">
        <v>0.14000000000000001</v>
      </c>
      <c r="F459">
        <v>5506.23</v>
      </c>
      <c r="G459">
        <v>1.0599712735636899</v>
      </c>
      <c r="H459">
        <v>8310</v>
      </c>
      <c r="I459">
        <v>28039</v>
      </c>
      <c r="J459">
        <v>1</v>
      </c>
      <c r="K459" t="s">
        <v>53</v>
      </c>
      <c r="L459" s="1">
        <v>44907</v>
      </c>
      <c r="M459" t="s">
        <v>58</v>
      </c>
      <c r="N459" t="s">
        <v>63</v>
      </c>
      <c r="O459">
        <v>6056.8530000000001</v>
      </c>
      <c r="P459">
        <v>550.62300000000005</v>
      </c>
      <c r="Q459">
        <v>0.66</v>
      </c>
    </row>
    <row r="460" spans="1:17">
      <c r="A460" t="s">
        <v>39</v>
      </c>
      <c r="B460" t="s">
        <v>29</v>
      </c>
      <c r="C460" t="s">
        <v>35</v>
      </c>
      <c r="D460" t="s">
        <v>42</v>
      </c>
      <c r="E460">
        <v>0.04</v>
      </c>
      <c r="F460">
        <v>14490.02</v>
      </c>
      <c r="G460">
        <v>0.63991520393895995</v>
      </c>
      <c r="H460">
        <v>22094</v>
      </c>
      <c r="I460">
        <v>72922</v>
      </c>
      <c r="J460">
        <v>1</v>
      </c>
      <c r="K460" t="s">
        <v>46</v>
      </c>
      <c r="L460" s="1">
        <v>44646</v>
      </c>
      <c r="M460" t="s">
        <v>70</v>
      </c>
      <c r="N460" t="s">
        <v>81</v>
      </c>
      <c r="O460">
        <v>15939.022000000001</v>
      </c>
      <c r="P460">
        <v>1449.002</v>
      </c>
      <c r="Q460">
        <v>0.66</v>
      </c>
    </row>
    <row r="461" spans="1:17">
      <c r="A461" t="s">
        <v>39</v>
      </c>
      <c r="B461" t="s">
        <v>18</v>
      </c>
      <c r="C461" t="s">
        <v>30</v>
      </c>
      <c r="D461" t="s">
        <v>50</v>
      </c>
      <c r="E461">
        <v>0.03</v>
      </c>
      <c r="F461">
        <v>5526.07</v>
      </c>
      <c r="G461">
        <v>0.56000000000000005</v>
      </c>
      <c r="H461">
        <v>14203</v>
      </c>
      <c r="I461">
        <v>43590</v>
      </c>
      <c r="J461">
        <v>8</v>
      </c>
      <c r="K461" t="s">
        <v>46</v>
      </c>
      <c r="L461" s="1">
        <v>44754</v>
      </c>
      <c r="M461" t="s">
        <v>95</v>
      </c>
      <c r="N461" t="s">
        <v>23</v>
      </c>
      <c r="O461">
        <v>6078.6769999999997</v>
      </c>
      <c r="P461">
        <v>552.60699999999997</v>
      </c>
      <c r="Q461">
        <v>0.39</v>
      </c>
    </row>
    <row r="462" spans="1:17">
      <c r="A462" t="s">
        <v>67</v>
      </c>
      <c r="B462" t="s">
        <v>18</v>
      </c>
      <c r="C462" t="s">
        <v>30</v>
      </c>
      <c r="D462" t="s">
        <v>36</v>
      </c>
      <c r="E462">
        <v>0.02</v>
      </c>
      <c r="F462">
        <v>4533.4399999999996</v>
      </c>
      <c r="G462">
        <v>7.82</v>
      </c>
      <c r="H462">
        <v>11502</v>
      </c>
      <c r="I462">
        <v>35589</v>
      </c>
      <c r="J462">
        <v>8</v>
      </c>
      <c r="K462" t="s">
        <v>46</v>
      </c>
      <c r="L462" s="1">
        <v>44670</v>
      </c>
      <c r="M462" t="s">
        <v>96</v>
      </c>
      <c r="N462" t="s">
        <v>73</v>
      </c>
      <c r="O462">
        <v>4986.7839999999997</v>
      </c>
      <c r="P462">
        <v>453.34399999999999</v>
      </c>
      <c r="Q462">
        <v>0.39</v>
      </c>
    </row>
    <row r="463" spans="1:17">
      <c r="A463" t="s">
        <v>24</v>
      </c>
      <c r="B463" t="s">
        <v>29</v>
      </c>
      <c r="C463" t="s">
        <v>19</v>
      </c>
      <c r="D463" t="s">
        <v>36</v>
      </c>
      <c r="E463">
        <v>0.08</v>
      </c>
      <c r="F463">
        <v>1709.42</v>
      </c>
      <c r="G463">
        <v>0.19</v>
      </c>
      <c r="H463">
        <v>4244</v>
      </c>
      <c r="I463">
        <v>14090</v>
      </c>
      <c r="J463">
        <v>9</v>
      </c>
      <c r="K463" t="s">
        <v>46</v>
      </c>
      <c r="L463" s="1">
        <v>44767</v>
      </c>
      <c r="M463" t="s">
        <v>98</v>
      </c>
      <c r="N463" t="s">
        <v>23</v>
      </c>
      <c r="O463">
        <v>1880.3620000000001</v>
      </c>
      <c r="P463">
        <v>170.94200000000001</v>
      </c>
      <c r="Q463">
        <v>0.4</v>
      </c>
    </row>
    <row r="464" spans="1:17">
      <c r="A464" t="s">
        <v>49</v>
      </c>
      <c r="B464" t="s">
        <v>29</v>
      </c>
      <c r="C464" t="s">
        <v>40</v>
      </c>
      <c r="D464" t="s">
        <v>50</v>
      </c>
      <c r="E464">
        <v>0.04</v>
      </c>
      <c r="F464">
        <v>10484.469999999999</v>
      </c>
      <c r="G464">
        <v>3.98</v>
      </c>
      <c r="H464">
        <v>27675</v>
      </c>
      <c r="I464">
        <v>83494</v>
      </c>
      <c r="J464">
        <v>6</v>
      </c>
      <c r="K464" t="s">
        <v>53</v>
      </c>
      <c r="L464" s="1">
        <v>44833</v>
      </c>
      <c r="M464" t="s">
        <v>66</v>
      </c>
      <c r="N464" t="s">
        <v>65</v>
      </c>
      <c r="O464">
        <v>11532.916999999999</v>
      </c>
      <c r="P464">
        <v>1048.4469999999999</v>
      </c>
      <c r="Q464">
        <v>0.38</v>
      </c>
    </row>
    <row r="465" spans="1:17">
      <c r="A465" t="s">
        <v>28</v>
      </c>
      <c r="B465" t="s">
        <v>25</v>
      </c>
      <c r="C465" t="s">
        <v>35</v>
      </c>
      <c r="D465" t="s">
        <v>42</v>
      </c>
      <c r="E465">
        <v>0.08</v>
      </c>
      <c r="F465">
        <v>12112.07</v>
      </c>
      <c r="G465">
        <v>1.0367341292865799</v>
      </c>
      <c r="H465">
        <v>18831</v>
      </c>
      <c r="I465">
        <v>62298</v>
      </c>
      <c r="J465">
        <v>1</v>
      </c>
      <c r="K465" t="s">
        <v>51</v>
      </c>
      <c r="L465" s="1">
        <v>44909</v>
      </c>
      <c r="M465" t="s">
        <v>101</v>
      </c>
      <c r="N465" t="s">
        <v>63</v>
      </c>
      <c r="O465">
        <v>13323.277</v>
      </c>
      <c r="P465">
        <v>1211.2070000000001</v>
      </c>
      <c r="Q465">
        <v>0.64</v>
      </c>
    </row>
    <row r="466" spans="1:17">
      <c r="A466" t="s">
        <v>24</v>
      </c>
      <c r="B466" t="s">
        <v>25</v>
      </c>
      <c r="C466" t="s">
        <v>19</v>
      </c>
      <c r="D466" t="s">
        <v>20</v>
      </c>
      <c r="E466">
        <v>0.05</v>
      </c>
      <c r="F466">
        <v>2122.96</v>
      </c>
      <c r="G466">
        <v>3.72</v>
      </c>
      <c r="H466">
        <v>5195</v>
      </c>
      <c r="I466">
        <v>16907</v>
      </c>
      <c r="J466">
        <v>1</v>
      </c>
      <c r="K466" t="s">
        <v>37</v>
      </c>
      <c r="L466" s="1">
        <v>44667</v>
      </c>
      <c r="M466" t="s">
        <v>74</v>
      </c>
      <c r="N466" t="s">
        <v>73</v>
      </c>
      <c r="O466">
        <v>2335.2559999999999</v>
      </c>
      <c r="P466">
        <v>212.29599999999999</v>
      </c>
      <c r="Q466">
        <v>0.41</v>
      </c>
    </row>
    <row r="467" spans="1:17">
      <c r="A467" t="s">
        <v>17</v>
      </c>
      <c r="B467" t="s">
        <v>18</v>
      </c>
      <c r="C467" t="s">
        <v>35</v>
      </c>
      <c r="D467" t="s">
        <v>20</v>
      </c>
      <c r="E467">
        <v>0.12</v>
      </c>
      <c r="F467">
        <v>13579.08</v>
      </c>
      <c r="G467">
        <v>1.38</v>
      </c>
      <c r="H467">
        <v>35767</v>
      </c>
      <c r="I467">
        <v>107464</v>
      </c>
      <c r="J467">
        <v>5</v>
      </c>
      <c r="K467" t="s">
        <v>21</v>
      </c>
      <c r="L467" s="1">
        <v>44643</v>
      </c>
      <c r="M467" t="s">
        <v>22</v>
      </c>
      <c r="N467" t="s">
        <v>81</v>
      </c>
      <c r="O467">
        <v>14936.987999999999</v>
      </c>
      <c r="P467">
        <v>1357.9079999999999</v>
      </c>
      <c r="Q467">
        <v>0.38</v>
      </c>
    </row>
    <row r="468" spans="1:17">
      <c r="A468" t="s">
        <v>55</v>
      </c>
      <c r="B468" t="s">
        <v>34</v>
      </c>
      <c r="C468" t="s">
        <v>19</v>
      </c>
      <c r="D468" t="s">
        <v>36</v>
      </c>
      <c r="E468">
        <v>0.04</v>
      </c>
      <c r="F468">
        <v>1550.26</v>
      </c>
      <c r="G468">
        <v>2.5299999999999998</v>
      </c>
      <c r="H468">
        <v>3917</v>
      </c>
      <c r="I468">
        <v>13121</v>
      </c>
      <c r="J468">
        <v>9</v>
      </c>
      <c r="K468" t="s">
        <v>21</v>
      </c>
      <c r="L468" s="1">
        <v>44833</v>
      </c>
      <c r="M468" t="s">
        <v>71</v>
      </c>
      <c r="N468" t="s">
        <v>65</v>
      </c>
      <c r="O468">
        <v>1705.2860000000001</v>
      </c>
      <c r="P468">
        <v>155.02600000000001</v>
      </c>
      <c r="Q468">
        <v>0.4</v>
      </c>
    </row>
    <row r="469" spans="1:17">
      <c r="A469" t="s">
        <v>28</v>
      </c>
      <c r="B469" t="s">
        <v>34</v>
      </c>
      <c r="C469" t="s">
        <v>30</v>
      </c>
      <c r="D469" t="s">
        <v>50</v>
      </c>
      <c r="E469">
        <v>0.04</v>
      </c>
      <c r="F469">
        <v>5756.99</v>
      </c>
      <c r="G469">
        <v>0.5</v>
      </c>
      <c r="H469">
        <v>14831</v>
      </c>
      <c r="I469">
        <v>45448</v>
      </c>
      <c r="J469">
        <v>5</v>
      </c>
      <c r="K469" t="s">
        <v>51</v>
      </c>
      <c r="L469" s="1">
        <v>44835</v>
      </c>
      <c r="M469" t="s">
        <v>85</v>
      </c>
      <c r="N469" t="s">
        <v>57</v>
      </c>
      <c r="O469">
        <v>6332.6890000000003</v>
      </c>
      <c r="P469">
        <v>575.69899999999996</v>
      </c>
      <c r="Q469">
        <v>0.39</v>
      </c>
    </row>
    <row r="470" spans="1:17">
      <c r="A470" t="s">
        <v>17</v>
      </c>
      <c r="B470" t="s">
        <v>29</v>
      </c>
      <c r="C470" t="s">
        <v>19</v>
      </c>
      <c r="D470" t="s">
        <v>50</v>
      </c>
      <c r="E470">
        <v>0.11</v>
      </c>
      <c r="F470">
        <v>2915.33</v>
      </c>
      <c r="G470">
        <v>4.74</v>
      </c>
      <c r="H470">
        <v>7157</v>
      </c>
      <c r="I470">
        <v>22720</v>
      </c>
      <c r="J470">
        <v>1</v>
      </c>
      <c r="K470" t="s">
        <v>46</v>
      </c>
      <c r="L470" s="1">
        <v>44668</v>
      </c>
      <c r="M470" t="s">
        <v>70</v>
      </c>
      <c r="N470" t="s">
        <v>73</v>
      </c>
      <c r="O470">
        <v>3206.8629999999998</v>
      </c>
      <c r="P470">
        <v>291.53300000000002</v>
      </c>
      <c r="Q470">
        <v>0.41</v>
      </c>
    </row>
    <row r="471" spans="1:17">
      <c r="A471" t="s">
        <v>24</v>
      </c>
      <c r="B471" t="s">
        <v>34</v>
      </c>
      <c r="C471" t="s">
        <v>35</v>
      </c>
      <c r="D471" t="s">
        <v>20</v>
      </c>
      <c r="E471">
        <v>0.06</v>
      </c>
      <c r="F471">
        <v>12202.23</v>
      </c>
      <c r="G471">
        <v>4.84</v>
      </c>
      <c r="H471">
        <v>32307</v>
      </c>
      <c r="I471">
        <v>97214</v>
      </c>
      <c r="J471">
        <v>1</v>
      </c>
      <c r="K471" t="s">
        <v>21</v>
      </c>
      <c r="L471" s="1">
        <v>44823</v>
      </c>
      <c r="M471" t="s">
        <v>26</v>
      </c>
      <c r="N471" t="s">
        <v>65</v>
      </c>
      <c r="O471">
        <v>13422.453</v>
      </c>
      <c r="P471">
        <v>1220.223</v>
      </c>
      <c r="Q471">
        <v>0.38</v>
      </c>
    </row>
    <row r="472" spans="1:17">
      <c r="A472" t="s">
        <v>33</v>
      </c>
      <c r="B472" t="s">
        <v>25</v>
      </c>
      <c r="C472" t="s">
        <v>40</v>
      </c>
      <c r="D472" t="s">
        <v>42</v>
      </c>
      <c r="E472">
        <v>0.12</v>
      </c>
      <c r="F472">
        <v>10885.52</v>
      </c>
      <c r="G472">
        <v>0.62382795020865101</v>
      </c>
      <c r="H472">
        <v>16892</v>
      </c>
      <c r="I472">
        <v>55986</v>
      </c>
      <c r="J472">
        <v>1</v>
      </c>
      <c r="K472" t="s">
        <v>53</v>
      </c>
      <c r="L472" s="1">
        <v>44637</v>
      </c>
      <c r="M472" t="s">
        <v>82</v>
      </c>
      <c r="N472" t="s">
        <v>81</v>
      </c>
      <c r="O472">
        <v>11974.072</v>
      </c>
      <c r="P472">
        <v>1088.5519999999999</v>
      </c>
      <c r="Q472">
        <v>0.64</v>
      </c>
    </row>
    <row r="473" spans="1:17">
      <c r="A473" t="s">
        <v>55</v>
      </c>
      <c r="B473" t="s">
        <v>29</v>
      </c>
      <c r="C473" t="s">
        <v>19</v>
      </c>
      <c r="D473" t="s">
        <v>50</v>
      </c>
      <c r="E473">
        <v>0.12</v>
      </c>
      <c r="F473">
        <v>763.45</v>
      </c>
      <c r="G473">
        <v>2.13</v>
      </c>
      <c r="H473">
        <v>2462</v>
      </c>
      <c r="I473">
        <v>8812</v>
      </c>
      <c r="J473">
        <v>3</v>
      </c>
      <c r="K473" t="s">
        <v>46</v>
      </c>
      <c r="L473" s="1">
        <v>44649</v>
      </c>
      <c r="M473" t="s">
        <v>96</v>
      </c>
      <c r="N473" t="s">
        <v>81</v>
      </c>
      <c r="O473">
        <v>839.79499999999996</v>
      </c>
      <c r="P473">
        <v>76.344999999999999</v>
      </c>
      <c r="Q473">
        <v>0.31</v>
      </c>
    </row>
    <row r="474" spans="1:17">
      <c r="A474" t="s">
        <v>55</v>
      </c>
      <c r="B474" t="s">
        <v>25</v>
      </c>
      <c r="C474" t="s">
        <v>30</v>
      </c>
      <c r="D474" t="s">
        <v>36</v>
      </c>
      <c r="E474">
        <v>7.0000000000000007E-2</v>
      </c>
      <c r="F474">
        <v>7382.85</v>
      </c>
      <c r="G474">
        <v>1.53</v>
      </c>
      <c r="H474">
        <v>19225</v>
      </c>
      <c r="I474">
        <v>58464</v>
      </c>
      <c r="J474">
        <v>8</v>
      </c>
      <c r="K474" t="s">
        <v>53</v>
      </c>
      <c r="L474" s="1">
        <v>44870</v>
      </c>
      <c r="M474" t="s">
        <v>68</v>
      </c>
      <c r="N474" t="s">
        <v>41</v>
      </c>
      <c r="O474">
        <v>8121.1350000000002</v>
      </c>
      <c r="P474">
        <v>738.28499999999997</v>
      </c>
      <c r="Q474">
        <v>0.38</v>
      </c>
    </row>
    <row r="475" spans="1:17">
      <c r="A475" t="s">
        <v>24</v>
      </c>
      <c r="B475" t="s">
        <v>29</v>
      </c>
      <c r="C475" t="s">
        <v>19</v>
      </c>
      <c r="D475" t="s">
        <v>20</v>
      </c>
      <c r="E475">
        <v>0.04</v>
      </c>
      <c r="F475">
        <v>3075.93</v>
      </c>
      <c r="G475">
        <v>6.22</v>
      </c>
      <c r="H475">
        <v>7575</v>
      </c>
      <c r="I475">
        <v>23959</v>
      </c>
      <c r="J475">
        <v>8</v>
      </c>
      <c r="K475" t="s">
        <v>37</v>
      </c>
      <c r="L475" s="1">
        <v>44687</v>
      </c>
      <c r="M475" t="s">
        <v>90</v>
      </c>
      <c r="N475" t="s">
        <v>44</v>
      </c>
      <c r="O475">
        <v>3383.5230000000001</v>
      </c>
      <c r="P475">
        <v>307.59300000000002</v>
      </c>
      <c r="Q475">
        <v>0.41</v>
      </c>
    </row>
    <row r="476" spans="1:17">
      <c r="A476" t="s">
        <v>49</v>
      </c>
      <c r="B476" t="s">
        <v>25</v>
      </c>
      <c r="C476" t="s">
        <v>19</v>
      </c>
      <c r="D476" t="s">
        <v>20</v>
      </c>
      <c r="E476">
        <v>0.04</v>
      </c>
      <c r="F476">
        <v>997.86</v>
      </c>
      <c r="G476">
        <v>1.95</v>
      </c>
      <c r="H476">
        <v>2859</v>
      </c>
      <c r="I476">
        <v>9987</v>
      </c>
      <c r="J476">
        <v>8</v>
      </c>
      <c r="K476" t="s">
        <v>21</v>
      </c>
      <c r="L476" s="1">
        <v>44920</v>
      </c>
      <c r="M476" t="s">
        <v>71</v>
      </c>
      <c r="N476" t="s">
        <v>63</v>
      </c>
      <c r="O476">
        <v>1097.646</v>
      </c>
      <c r="P476">
        <v>99.786000000000101</v>
      </c>
      <c r="Q476">
        <v>0.35</v>
      </c>
    </row>
    <row r="477" spans="1:17">
      <c r="A477" t="s">
        <v>39</v>
      </c>
      <c r="B477" t="s">
        <v>29</v>
      </c>
      <c r="C477" t="s">
        <v>19</v>
      </c>
      <c r="D477" t="s">
        <v>50</v>
      </c>
      <c r="E477">
        <v>0.06</v>
      </c>
      <c r="F477">
        <v>2707.85</v>
      </c>
      <c r="G477">
        <v>5.28</v>
      </c>
      <c r="H477">
        <v>6626</v>
      </c>
      <c r="I477">
        <v>21145</v>
      </c>
      <c r="J477">
        <v>5</v>
      </c>
      <c r="K477" t="s">
        <v>51</v>
      </c>
      <c r="L477" s="1">
        <v>44710</v>
      </c>
      <c r="M477" t="s">
        <v>97</v>
      </c>
      <c r="N477" t="s">
        <v>44</v>
      </c>
      <c r="O477">
        <v>2978.6350000000002</v>
      </c>
      <c r="P477">
        <v>270.78500000000003</v>
      </c>
      <c r="Q477">
        <v>0.41</v>
      </c>
    </row>
    <row r="478" spans="1:17">
      <c r="A478" t="s">
        <v>17</v>
      </c>
      <c r="B478" t="s">
        <v>25</v>
      </c>
      <c r="C478" t="s">
        <v>35</v>
      </c>
      <c r="D478" t="s">
        <v>50</v>
      </c>
      <c r="E478">
        <v>0.06</v>
      </c>
      <c r="F478">
        <v>12840.57</v>
      </c>
      <c r="G478">
        <v>0.45</v>
      </c>
      <c r="H478">
        <v>33977</v>
      </c>
      <c r="I478">
        <v>102160</v>
      </c>
      <c r="J478">
        <v>1</v>
      </c>
      <c r="K478" t="s">
        <v>21</v>
      </c>
      <c r="L478" s="1">
        <v>44687</v>
      </c>
      <c r="M478" t="s">
        <v>43</v>
      </c>
      <c r="N478" t="s">
        <v>44</v>
      </c>
      <c r="O478">
        <v>14124.627</v>
      </c>
      <c r="P478">
        <v>1284.057</v>
      </c>
      <c r="Q478">
        <v>0.38</v>
      </c>
    </row>
    <row r="479" spans="1:17">
      <c r="A479" t="s">
        <v>45</v>
      </c>
      <c r="B479" t="s">
        <v>29</v>
      </c>
      <c r="C479" t="s">
        <v>30</v>
      </c>
      <c r="D479" t="s">
        <v>36</v>
      </c>
      <c r="E479">
        <v>0.14000000000000001</v>
      </c>
      <c r="F479">
        <v>6187.27</v>
      </c>
      <c r="G479">
        <v>6.13</v>
      </c>
      <c r="H479">
        <v>16001</v>
      </c>
      <c r="I479">
        <v>48915</v>
      </c>
      <c r="J479">
        <v>1</v>
      </c>
      <c r="K479" t="s">
        <v>53</v>
      </c>
      <c r="L479" s="1">
        <v>44642</v>
      </c>
      <c r="M479" t="s">
        <v>104</v>
      </c>
      <c r="N479" t="s">
        <v>81</v>
      </c>
      <c r="O479">
        <v>6805.9970000000003</v>
      </c>
      <c r="P479">
        <v>618.72699999999998</v>
      </c>
      <c r="Q479">
        <v>0.39</v>
      </c>
    </row>
    <row r="480" spans="1:17">
      <c r="A480" t="s">
        <v>67</v>
      </c>
      <c r="B480" t="s">
        <v>18</v>
      </c>
      <c r="C480" t="s">
        <v>30</v>
      </c>
      <c r="D480" t="s">
        <v>42</v>
      </c>
      <c r="E480">
        <v>0.04</v>
      </c>
      <c r="F480">
        <v>4589.29</v>
      </c>
      <c r="G480">
        <v>1.31736733324864</v>
      </c>
      <c r="H480">
        <v>6844</v>
      </c>
      <c r="I480">
        <v>23269</v>
      </c>
      <c r="J480">
        <v>1</v>
      </c>
      <c r="K480" t="s">
        <v>53</v>
      </c>
      <c r="L480" s="1">
        <v>44567</v>
      </c>
      <c r="M480" t="s">
        <v>54</v>
      </c>
      <c r="N480" t="s">
        <v>27</v>
      </c>
      <c r="O480">
        <v>5048.2190000000001</v>
      </c>
      <c r="P480">
        <v>458.92899999999997</v>
      </c>
      <c r="Q480">
        <v>0.67</v>
      </c>
    </row>
    <row r="481" spans="1:17">
      <c r="A481" t="s">
        <v>45</v>
      </c>
      <c r="B481" t="s">
        <v>29</v>
      </c>
      <c r="C481" t="s">
        <v>35</v>
      </c>
      <c r="D481" t="s">
        <v>20</v>
      </c>
      <c r="E481">
        <v>0.09</v>
      </c>
      <c r="F481">
        <v>14590.8</v>
      </c>
      <c r="G481">
        <v>2.37</v>
      </c>
      <c r="H481">
        <v>37791</v>
      </c>
      <c r="I481">
        <v>113459</v>
      </c>
      <c r="J481">
        <v>1</v>
      </c>
      <c r="K481" t="s">
        <v>21</v>
      </c>
      <c r="L481" s="1">
        <v>44726</v>
      </c>
      <c r="M481" t="s">
        <v>71</v>
      </c>
      <c r="N481" t="s">
        <v>69</v>
      </c>
      <c r="O481">
        <v>16049.88</v>
      </c>
      <c r="P481">
        <v>1459.08</v>
      </c>
      <c r="Q481">
        <v>0.39</v>
      </c>
    </row>
    <row r="482" spans="1:17">
      <c r="A482" t="s">
        <v>24</v>
      </c>
      <c r="B482" t="s">
        <v>29</v>
      </c>
      <c r="C482" t="s">
        <v>40</v>
      </c>
      <c r="D482" t="s">
        <v>42</v>
      </c>
      <c r="E482">
        <v>0.08</v>
      </c>
      <c r="F482">
        <v>8941.86</v>
      </c>
      <c r="G482">
        <v>0.235946388044532</v>
      </c>
      <c r="H482">
        <v>13788</v>
      </c>
      <c r="I482">
        <v>45876</v>
      </c>
      <c r="J482">
        <v>1</v>
      </c>
      <c r="K482" t="s">
        <v>51</v>
      </c>
      <c r="L482" s="1">
        <v>44593</v>
      </c>
      <c r="M482" t="s">
        <v>92</v>
      </c>
      <c r="N482" t="s">
        <v>60</v>
      </c>
      <c r="O482">
        <v>9836.0460000000003</v>
      </c>
      <c r="P482">
        <v>894.18600000000094</v>
      </c>
      <c r="Q482">
        <v>0.65</v>
      </c>
    </row>
    <row r="483" spans="1:17">
      <c r="A483" t="s">
        <v>33</v>
      </c>
      <c r="B483" t="s">
        <v>25</v>
      </c>
      <c r="C483" t="s">
        <v>30</v>
      </c>
      <c r="D483" t="s">
        <v>20</v>
      </c>
      <c r="E483">
        <v>0.06</v>
      </c>
      <c r="F483">
        <v>6441.36</v>
      </c>
      <c r="G483">
        <v>7.34</v>
      </c>
      <c r="H483">
        <v>16687</v>
      </c>
      <c r="I483">
        <v>50948</v>
      </c>
      <c r="J483">
        <v>10</v>
      </c>
      <c r="K483" t="s">
        <v>46</v>
      </c>
      <c r="L483" s="1">
        <v>44764</v>
      </c>
      <c r="M483" t="s">
        <v>93</v>
      </c>
      <c r="N483" t="s">
        <v>23</v>
      </c>
      <c r="O483">
        <v>7085.4960000000001</v>
      </c>
      <c r="P483">
        <v>644.13599999999997</v>
      </c>
      <c r="Q483">
        <v>0.39</v>
      </c>
    </row>
    <row r="484" spans="1:17">
      <c r="A484" t="s">
        <v>33</v>
      </c>
      <c r="B484" t="s">
        <v>18</v>
      </c>
      <c r="C484" t="s">
        <v>19</v>
      </c>
      <c r="D484" t="s">
        <v>20</v>
      </c>
      <c r="E484">
        <v>0.14000000000000001</v>
      </c>
      <c r="F484">
        <v>500</v>
      </c>
      <c r="G484">
        <v>3.82</v>
      </c>
      <c r="H484">
        <v>754</v>
      </c>
      <c r="I484">
        <v>3754</v>
      </c>
      <c r="J484">
        <v>9</v>
      </c>
      <c r="K484" t="s">
        <v>53</v>
      </c>
      <c r="L484" s="1">
        <v>44683</v>
      </c>
      <c r="M484" t="s">
        <v>78</v>
      </c>
      <c r="N484" t="s">
        <v>44</v>
      </c>
      <c r="O484">
        <v>550</v>
      </c>
      <c r="P484">
        <v>50</v>
      </c>
      <c r="Q484">
        <v>0.66</v>
      </c>
    </row>
    <row r="485" spans="1:17">
      <c r="A485" t="s">
        <v>55</v>
      </c>
      <c r="B485" t="s">
        <v>34</v>
      </c>
      <c r="C485" t="s">
        <v>35</v>
      </c>
      <c r="D485" t="s">
        <v>50</v>
      </c>
      <c r="E485">
        <v>0.1</v>
      </c>
      <c r="F485">
        <v>14066.87</v>
      </c>
      <c r="G485">
        <v>5.49</v>
      </c>
      <c r="H485">
        <v>36812</v>
      </c>
      <c r="I485">
        <v>110559</v>
      </c>
      <c r="J485">
        <v>6</v>
      </c>
      <c r="K485" t="s">
        <v>53</v>
      </c>
      <c r="L485" s="1">
        <v>44609</v>
      </c>
      <c r="M485" t="s">
        <v>83</v>
      </c>
      <c r="N485" t="s">
        <v>60</v>
      </c>
      <c r="O485">
        <v>15473.557000000001</v>
      </c>
      <c r="P485">
        <v>1406.6869999999999</v>
      </c>
      <c r="Q485">
        <v>0.38</v>
      </c>
    </row>
    <row r="486" spans="1:17">
      <c r="A486" t="s">
        <v>39</v>
      </c>
      <c r="B486" t="s">
        <v>18</v>
      </c>
      <c r="C486" t="s">
        <v>30</v>
      </c>
      <c r="D486" t="s">
        <v>36</v>
      </c>
      <c r="E486">
        <v>0.05</v>
      </c>
      <c r="F486">
        <v>6455.9</v>
      </c>
      <c r="G486">
        <v>7.54</v>
      </c>
      <c r="H486">
        <v>16725</v>
      </c>
      <c r="I486">
        <v>51059</v>
      </c>
      <c r="J486">
        <v>9</v>
      </c>
      <c r="K486" t="s">
        <v>21</v>
      </c>
      <c r="L486" s="1">
        <v>44686</v>
      </c>
      <c r="M486" t="s">
        <v>48</v>
      </c>
      <c r="N486" t="s">
        <v>44</v>
      </c>
      <c r="O486">
        <v>7101.49</v>
      </c>
      <c r="P486">
        <v>645.59</v>
      </c>
      <c r="Q486">
        <v>0.39</v>
      </c>
    </row>
    <row r="487" spans="1:17">
      <c r="A487" t="s">
        <v>39</v>
      </c>
      <c r="B487" t="s">
        <v>18</v>
      </c>
      <c r="C487" t="s">
        <v>19</v>
      </c>
      <c r="D487" t="s">
        <v>42</v>
      </c>
      <c r="E487">
        <v>0.09</v>
      </c>
      <c r="F487">
        <v>1465.79</v>
      </c>
      <c r="G487">
        <v>0.91697346262761603</v>
      </c>
      <c r="H487">
        <v>2196</v>
      </c>
      <c r="I487">
        <v>8131</v>
      </c>
      <c r="J487">
        <v>1</v>
      </c>
      <c r="K487" t="s">
        <v>46</v>
      </c>
      <c r="L487" s="1">
        <v>44915</v>
      </c>
      <c r="M487" t="s">
        <v>96</v>
      </c>
      <c r="N487" t="s">
        <v>63</v>
      </c>
      <c r="O487">
        <v>1612.3689999999999</v>
      </c>
      <c r="P487">
        <v>146.57900000000001</v>
      </c>
      <c r="Q487">
        <v>0.67</v>
      </c>
    </row>
    <row r="488" spans="1:17">
      <c r="A488" t="s">
        <v>45</v>
      </c>
      <c r="B488" t="s">
        <v>25</v>
      </c>
      <c r="C488" t="s">
        <v>35</v>
      </c>
      <c r="D488" t="s">
        <v>42</v>
      </c>
      <c r="E488">
        <v>0.12</v>
      </c>
      <c r="F488">
        <v>11676.73</v>
      </c>
      <c r="G488">
        <v>0.93484818899462596</v>
      </c>
      <c r="H488">
        <v>18156</v>
      </c>
      <c r="I488">
        <v>60100</v>
      </c>
      <c r="J488">
        <v>1</v>
      </c>
      <c r="K488" t="s">
        <v>21</v>
      </c>
      <c r="L488" s="1">
        <v>44667</v>
      </c>
      <c r="M488" t="s">
        <v>80</v>
      </c>
      <c r="N488" t="s">
        <v>73</v>
      </c>
      <c r="O488">
        <v>12844.403</v>
      </c>
      <c r="P488">
        <v>1167.673</v>
      </c>
      <c r="Q488">
        <v>0.64</v>
      </c>
    </row>
    <row r="489" spans="1:17">
      <c r="A489" t="s">
        <v>33</v>
      </c>
      <c r="B489" t="s">
        <v>29</v>
      </c>
      <c r="C489" t="s">
        <v>19</v>
      </c>
      <c r="D489" t="s">
        <v>36</v>
      </c>
      <c r="E489">
        <v>0.14000000000000001</v>
      </c>
      <c r="F489">
        <v>3231.1</v>
      </c>
      <c r="G489">
        <v>0.56999999999999995</v>
      </c>
      <c r="H489">
        <v>7975</v>
      </c>
      <c r="I489">
        <v>25141</v>
      </c>
      <c r="J489">
        <v>6</v>
      </c>
      <c r="K489" t="s">
        <v>37</v>
      </c>
      <c r="L489" s="1">
        <v>44592</v>
      </c>
      <c r="M489" t="s">
        <v>38</v>
      </c>
      <c r="N489" t="s">
        <v>27</v>
      </c>
      <c r="O489">
        <v>3554.21</v>
      </c>
      <c r="P489">
        <v>323.11</v>
      </c>
      <c r="Q489">
        <v>0.41</v>
      </c>
    </row>
    <row r="490" spans="1:17">
      <c r="A490" t="s">
        <v>45</v>
      </c>
      <c r="B490" t="s">
        <v>18</v>
      </c>
      <c r="C490" t="s">
        <v>30</v>
      </c>
      <c r="D490" t="s">
        <v>20</v>
      </c>
      <c r="E490">
        <v>0.1</v>
      </c>
      <c r="F490">
        <v>7638.84</v>
      </c>
      <c r="G490">
        <v>4.4800000000000004</v>
      </c>
      <c r="H490">
        <v>19921</v>
      </c>
      <c r="I490">
        <v>60526</v>
      </c>
      <c r="J490">
        <v>1</v>
      </c>
      <c r="K490" t="s">
        <v>46</v>
      </c>
      <c r="L490" s="1">
        <v>44762</v>
      </c>
      <c r="M490" t="s">
        <v>88</v>
      </c>
      <c r="N490" t="s">
        <v>23</v>
      </c>
      <c r="O490">
        <v>8402.7240000000002</v>
      </c>
      <c r="P490">
        <v>763.88400000000001</v>
      </c>
      <c r="Q490">
        <v>0.38</v>
      </c>
    </row>
    <row r="491" spans="1:17">
      <c r="A491" t="s">
        <v>28</v>
      </c>
      <c r="B491" t="s">
        <v>29</v>
      </c>
      <c r="C491" t="s">
        <v>30</v>
      </c>
      <c r="D491" t="s">
        <v>36</v>
      </c>
      <c r="E491">
        <v>0.11</v>
      </c>
      <c r="F491">
        <v>4638.83</v>
      </c>
      <c r="G491">
        <v>7.86</v>
      </c>
      <c r="H491">
        <v>11789</v>
      </c>
      <c r="I491">
        <v>36439</v>
      </c>
      <c r="J491">
        <v>5</v>
      </c>
      <c r="K491" t="s">
        <v>53</v>
      </c>
      <c r="L491" s="1">
        <v>44606</v>
      </c>
      <c r="M491" t="s">
        <v>82</v>
      </c>
      <c r="N491" t="s">
        <v>60</v>
      </c>
      <c r="O491">
        <v>5102.7129999999997</v>
      </c>
      <c r="P491">
        <v>463.88299999999998</v>
      </c>
      <c r="Q491">
        <v>0.39</v>
      </c>
    </row>
    <row r="492" spans="1:17">
      <c r="A492" t="s">
        <v>39</v>
      </c>
      <c r="B492" t="s">
        <v>29</v>
      </c>
      <c r="C492" t="s">
        <v>19</v>
      </c>
      <c r="D492" t="s">
        <v>36</v>
      </c>
      <c r="E492">
        <v>0.11</v>
      </c>
      <c r="F492">
        <v>3868.25</v>
      </c>
      <c r="G492">
        <v>5.4</v>
      </c>
      <c r="H492">
        <v>9679</v>
      </c>
      <c r="I492">
        <v>30189</v>
      </c>
      <c r="J492">
        <v>5</v>
      </c>
      <c r="K492" t="s">
        <v>51</v>
      </c>
      <c r="L492" s="1">
        <v>44815</v>
      </c>
      <c r="M492" t="s">
        <v>59</v>
      </c>
      <c r="N492" t="s">
        <v>65</v>
      </c>
      <c r="O492">
        <v>4255.0749999999998</v>
      </c>
      <c r="P492">
        <v>386.82499999999999</v>
      </c>
      <c r="Q492">
        <v>0.4</v>
      </c>
    </row>
    <row r="493" spans="1:17">
      <c r="A493" t="s">
        <v>17</v>
      </c>
      <c r="B493" t="s">
        <v>29</v>
      </c>
      <c r="C493" t="s">
        <v>35</v>
      </c>
      <c r="D493" t="s">
        <v>42</v>
      </c>
      <c r="E493">
        <v>0.11</v>
      </c>
      <c r="F493">
        <v>13376.98</v>
      </c>
      <c r="G493">
        <v>1.13683259694184</v>
      </c>
      <c r="H493">
        <v>20729</v>
      </c>
      <c r="I493">
        <v>68477</v>
      </c>
      <c r="J493">
        <v>1</v>
      </c>
      <c r="K493" t="s">
        <v>51</v>
      </c>
      <c r="L493" s="1">
        <v>44772</v>
      </c>
      <c r="M493" t="s">
        <v>59</v>
      </c>
      <c r="N493" t="s">
        <v>23</v>
      </c>
      <c r="O493">
        <v>14714.678</v>
      </c>
      <c r="P493">
        <v>1337.6980000000001</v>
      </c>
      <c r="Q493">
        <v>0.65</v>
      </c>
    </row>
    <row r="494" spans="1:17">
      <c r="A494" t="s">
        <v>33</v>
      </c>
      <c r="B494" t="s">
        <v>25</v>
      </c>
      <c r="C494" t="s">
        <v>19</v>
      </c>
      <c r="D494" t="s">
        <v>42</v>
      </c>
      <c r="E494">
        <v>7.0000000000000007E-2</v>
      </c>
      <c r="F494">
        <v>3673.92</v>
      </c>
      <c r="G494">
        <v>4.4686815917525102E-2</v>
      </c>
      <c r="H494">
        <v>5376</v>
      </c>
      <c r="I494">
        <v>18489</v>
      </c>
      <c r="J494">
        <v>1</v>
      </c>
      <c r="K494" t="s">
        <v>21</v>
      </c>
      <c r="L494" s="1">
        <v>44772</v>
      </c>
      <c r="M494" t="s">
        <v>22</v>
      </c>
      <c r="N494" t="s">
        <v>23</v>
      </c>
      <c r="O494">
        <v>4041.3119999999999</v>
      </c>
      <c r="P494">
        <v>367.392</v>
      </c>
      <c r="Q494">
        <v>0.68</v>
      </c>
    </row>
    <row r="495" spans="1:17">
      <c r="A495" t="s">
        <v>33</v>
      </c>
      <c r="B495" t="s">
        <v>34</v>
      </c>
      <c r="C495" t="s">
        <v>30</v>
      </c>
      <c r="D495" t="s">
        <v>50</v>
      </c>
      <c r="E495">
        <v>0.14000000000000001</v>
      </c>
      <c r="F495">
        <v>5291.16</v>
      </c>
      <c r="G495">
        <v>1.99</v>
      </c>
      <c r="H495">
        <v>13568</v>
      </c>
      <c r="I495">
        <v>41709</v>
      </c>
      <c r="J495">
        <v>7</v>
      </c>
      <c r="K495" t="s">
        <v>53</v>
      </c>
      <c r="L495" s="1">
        <v>44858</v>
      </c>
      <c r="M495" t="s">
        <v>104</v>
      </c>
      <c r="N495" t="s">
        <v>57</v>
      </c>
      <c r="O495">
        <v>5820.2759999999998</v>
      </c>
      <c r="P495">
        <v>529.11599999999999</v>
      </c>
      <c r="Q495">
        <v>0.39</v>
      </c>
    </row>
    <row r="496" spans="1:17">
      <c r="A496" t="s">
        <v>33</v>
      </c>
      <c r="B496" t="s">
        <v>25</v>
      </c>
      <c r="C496" t="s">
        <v>40</v>
      </c>
      <c r="D496" t="s">
        <v>50</v>
      </c>
      <c r="E496">
        <v>0.02</v>
      </c>
      <c r="F496">
        <v>11307.54</v>
      </c>
      <c r="G496">
        <v>6.85</v>
      </c>
      <c r="H496">
        <v>29915</v>
      </c>
      <c r="I496">
        <v>90130</v>
      </c>
      <c r="J496">
        <v>4</v>
      </c>
      <c r="K496" t="s">
        <v>46</v>
      </c>
      <c r="L496" s="1">
        <v>44786</v>
      </c>
      <c r="M496" t="s">
        <v>47</v>
      </c>
      <c r="N496" t="s">
        <v>32</v>
      </c>
      <c r="O496">
        <v>12438.294</v>
      </c>
      <c r="P496">
        <v>1130.7539999999999</v>
      </c>
      <c r="Q496">
        <v>0.38</v>
      </c>
    </row>
    <row r="497" spans="1:17">
      <c r="A497" t="s">
        <v>55</v>
      </c>
      <c r="B497" t="s">
        <v>34</v>
      </c>
      <c r="C497" t="s">
        <v>30</v>
      </c>
      <c r="D497" t="s">
        <v>50</v>
      </c>
      <c r="E497">
        <v>0.01</v>
      </c>
      <c r="F497">
        <v>6133.43</v>
      </c>
      <c r="G497">
        <v>7.51</v>
      </c>
      <c r="H497">
        <v>15858</v>
      </c>
      <c r="I497">
        <v>48492</v>
      </c>
      <c r="J497">
        <v>4</v>
      </c>
      <c r="K497" t="s">
        <v>51</v>
      </c>
      <c r="L497" s="1">
        <v>44830</v>
      </c>
      <c r="M497" t="s">
        <v>101</v>
      </c>
      <c r="N497" t="s">
        <v>65</v>
      </c>
      <c r="O497">
        <v>6746.7730000000001</v>
      </c>
      <c r="P497">
        <v>613.34299999999996</v>
      </c>
      <c r="Q497">
        <v>0.39</v>
      </c>
    </row>
    <row r="498" spans="1:17">
      <c r="A498" t="s">
        <v>39</v>
      </c>
      <c r="B498" t="s">
        <v>34</v>
      </c>
      <c r="C498" t="s">
        <v>30</v>
      </c>
      <c r="D498" t="s">
        <v>36</v>
      </c>
      <c r="E498">
        <v>0.14000000000000001</v>
      </c>
      <c r="F498">
        <v>4167.01</v>
      </c>
      <c r="G498">
        <v>0.17</v>
      </c>
      <c r="H498">
        <v>10500</v>
      </c>
      <c r="I498">
        <v>32622</v>
      </c>
      <c r="J498">
        <v>9</v>
      </c>
      <c r="K498" t="s">
        <v>51</v>
      </c>
      <c r="L498" s="1">
        <v>44907</v>
      </c>
      <c r="M498" t="s">
        <v>101</v>
      </c>
      <c r="N498" t="s">
        <v>63</v>
      </c>
      <c r="O498">
        <v>4583.7110000000002</v>
      </c>
      <c r="P498">
        <v>416.70100000000002</v>
      </c>
      <c r="Q498">
        <v>0.4</v>
      </c>
    </row>
    <row r="499" spans="1:17">
      <c r="A499" t="s">
        <v>67</v>
      </c>
      <c r="B499" t="s">
        <v>25</v>
      </c>
      <c r="C499" t="s">
        <v>30</v>
      </c>
      <c r="D499" t="s">
        <v>42</v>
      </c>
      <c r="E499">
        <v>0.04</v>
      </c>
      <c r="F499">
        <v>6570.66</v>
      </c>
      <c r="G499">
        <v>0.23415891540783099</v>
      </c>
      <c r="H499">
        <v>10001</v>
      </c>
      <c r="I499">
        <v>33545</v>
      </c>
      <c r="J499">
        <v>1</v>
      </c>
      <c r="K499" t="s">
        <v>53</v>
      </c>
      <c r="L499" s="1">
        <v>44574</v>
      </c>
      <c r="M499" t="s">
        <v>83</v>
      </c>
      <c r="N499" t="s">
        <v>27</v>
      </c>
      <c r="O499">
        <v>7227.7259999999997</v>
      </c>
      <c r="P499">
        <v>657.06600000000003</v>
      </c>
      <c r="Q499">
        <v>0.66</v>
      </c>
    </row>
    <row r="500" spans="1:17">
      <c r="A500" t="s">
        <v>39</v>
      </c>
      <c r="B500" t="s">
        <v>34</v>
      </c>
      <c r="C500" t="s">
        <v>35</v>
      </c>
      <c r="D500" t="s">
        <v>36</v>
      </c>
      <c r="E500">
        <v>0.02</v>
      </c>
      <c r="F500">
        <v>11940.03</v>
      </c>
      <c r="G500">
        <v>5.48</v>
      </c>
      <c r="H500">
        <v>31614</v>
      </c>
      <c r="I500">
        <v>95161</v>
      </c>
      <c r="J500">
        <v>10</v>
      </c>
      <c r="K500" t="s">
        <v>37</v>
      </c>
      <c r="L500" s="1">
        <v>44763</v>
      </c>
      <c r="M500" t="s">
        <v>56</v>
      </c>
      <c r="N500" t="s">
        <v>23</v>
      </c>
      <c r="O500">
        <v>13134.032999999999</v>
      </c>
      <c r="P500">
        <v>1194.0029999999999</v>
      </c>
      <c r="Q500">
        <v>0.38</v>
      </c>
    </row>
    <row r="501" spans="1:17">
      <c r="A501" t="s">
        <v>49</v>
      </c>
      <c r="B501" t="s">
        <v>29</v>
      </c>
      <c r="C501" t="s">
        <v>30</v>
      </c>
      <c r="D501" t="s">
        <v>20</v>
      </c>
      <c r="E501">
        <v>0.1</v>
      </c>
      <c r="F501">
        <v>4215.75</v>
      </c>
      <c r="G501">
        <v>0.56999999999999995</v>
      </c>
      <c r="H501">
        <v>10631</v>
      </c>
      <c r="I501">
        <v>33009</v>
      </c>
      <c r="J501">
        <v>2</v>
      </c>
      <c r="K501" t="s">
        <v>53</v>
      </c>
      <c r="L501" s="1">
        <v>44721</v>
      </c>
      <c r="M501" t="s">
        <v>78</v>
      </c>
      <c r="N501" t="s">
        <v>69</v>
      </c>
      <c r="O501">
        <v>4637.3249999999998</v>
      </c>
      <c r="P501">
        <v>421.57499999999999</v>
      </c>
      <c r="Q501">
        <v>0.4</v>
      </c>
    </row>
    <row r="502" spans="1:17">
      <c r="A502" t="s">
        <v>17</v>
      </c>
      <c r="B502" t="s">
        <v>29</v>
      </c>
      <c r="C502" t="s">
        <v>30</v>
      </c>
      <c r="D502" t="s">
        <v>20</v>
      </c>
      <c r="E502">
        <v>0.13</v>
      </c>
      <c r="F502">
        <v>7543.09</v>
      </c>
      <c r="G502">
        <v>4.8600000000000003</v>
      </c>
      <c r="H502">
        <v>19661</v>
      </c>
      <c r="I502">
        <v>59755</v>
      </c>
      <c r="J502">
        <v>9</v>
      </c>
      <c r="K502" t="s">
        <v>37</v>
      </c>
      <c r="L502" s="1">
        <v>44833</v>
      </c>
      <c r="M502" t="s">
        <v>64</v>
      </c>
      <c r="N502" t="s">
        <v>65</v>
      </c>
      <c r="O502">
        <v>8297.3989999999994</v>
      </c>
      <c r="P502">
        <v>754.30900000000099</v>
      </c>
      <c r="Q502">
        <v>0.38</v>
      </c>
    </row>
    <row r="503" spans="1:17">
      <c r="A503" t="s">
        <v>28</v>
      </c>
      <c r="B503" t="s">
        <v>34</v>
      </c>
      <c r="C503" t="s">
        <v>40</v>
      </c>
      <c r="D503" t="s">
        <v>50</v>
      </c>
      <c r="E503">
        <v>0.11</v>
      </c>
      <c r="F503">
        <v>8451.9500000000007</v>
      </c>
      <c r="G503">
        <v>0.57999999999999996</v>
      </c>
      <c r="H503">
        <v>22156</v>
      </c>
      <c r="I503">
        <v>67147</v>
      </c>
      <c r="J503">
        <v>4</v>
      </c>
      <c r="K503" t="s">
        <v>51</v>
      </c>
      <c r="L503" s="1">
        <v>44684</v>
      </c>
      <c r="M503" t="s">
        <v>62</v>
      </c>
      <c r="N503" t="s">
        <v>44</v>
      </c>
      <c r="O503">
        <v>9297.1450000000004</v>
      </c>
      <c r="P503">
        <v>845.19500000000096</v>
      </c>
      <c r="Q503">
        <v>0.38</v>
      </c>
    </row>
    <row r="504" spans="1:17">
      <c r="A504" t="s">
        <v>45</v>
      </c>
      <c r="B504" t="s">
        <v>18</v>
      </c>
      <c r="C504" t="s">
        <v>35</v>
      </c>
      <c r="D504" t="s">
        <v>50</v>
      </c>
      <c r="E504">
        <v>0.13</v>
      </c>
      <c r="F504">
        <v>14533.87</v>
      </c>
      <c r="G504">
        <v>4.71</v>
      </c>
      <c r="H504">
        <v>37693</v>
      </c>
      <c r="I504">
        <v>113166</v>
      </c>
      <c r="J504">
        <v>4</v>
      </c>
      <c r="K504" t="s">
        <v>53</v>
      </c>
      <c r="L504" s="1">
        <v>44713</v>
      </c>
      <c r="M504" t="s">
        <v>54</v>
      </c>
      <c r="N504" t="s">
        <v>69</v>
      </c>
      <c r="O504">
        <v>15987.257</v>
      </c>
      <c r="P504">
        <v>1453.3869999999999</v>
      </c>
      <c r="Q504">
        <v>0.39</v>
      </c>
    </row>
    <row r="505" spans="1:17">
      <c r="A505" t="s">
        <v>24</v>
      </c>
      <c r="B505" t="s">
        <v>18</v>
      </c>
      <c r="C505" t="s">
        <v>30</v>
      </c>
      <c r="D505" t="s">
        <v>42</v>
      </c>
      <c r="E505">
        <v>0.12</v>
      </c>
      <c r="F505">
        <v>5817.39</v>
      </c>
      <c r="G505">
        <v>0.45223057708535402</v>
      </c>
      <c r="H505">
        <v>8808</v>
      </c>
      <c r="I505">
        <v>29660</v>
      </c>
      <c r="J505">
        <v>1</v>
      </c>
      <c r="K505" t="s">
        <v>37</v>
      </c>
      <c r="L505" s="1">
        <v>44815</v>
      </c>
      <c r="M505" t="s">
        <v>56</v>
      </c>
      <c r="N505" t="s">
        <v>65</v>
      </c>
      <c r="O505">
        <v>6399.1289999999999</v>
      </c>
      <c r="P505">
        <v>581.73900000000003</v>
      </c>
      <c r="Q505">
        <v>0.66</v>
      </c>
    </row>
    <row r="506" spans="1:17">
      <c r="A506" t="s">
        <v>55</v>
      </c>
      <c r="B506" t="s">
        <v>25</v>
      </c>
      <c r="C506" t="s">
        <v>35</v>
      </c>
      <c r="D506" t="s">
        <v>20</v>
      </c>
      <c r="E506">
        <v>0.05</v>
      </c>
      <c r="F506">
        <v>14127.38</v>
      </c>
      <c r="G506">
        <v>2.13</v>
      </c>
      <c r="H506">
        <v>36934</v>
      </c>
      <c r="I506">
        <v>110919</v>
      </c>
      <c r="J506">
        <v>7</v>
      </c>
      <c r="K506" t="s">
        <v>51</v>
      </c>
      <c r="L506" s="1">
        <v>44866</v>
      </c>
      <c r="M506" t="s">
        <v>85</v>
      </c>
      <c r="N506" t="s">
        <v>41</v>
      </c>
      <c r="O506">
        <v>15540.118</v>
      </c>
      <c r="P506">
        <v>1412.7380000000001</v>
      </c>
      <c r="Q506">
        <v>0.38</v>
      </c>
    </row>
    <row r="507" spans="1:17">
      <c r="A507" t="s">
        <v>33</v>
      </c>
      <c r="B507" t="s">
        <v>34</v>
      </c>
      <c r="C507" t="s">
        <v>19</v>
      </c>
      <c r="D507" t="s">
        <v>36</v>
      </c>
      <c r="E507">
        <v>0.13</v>
      </c>
      <c r="F507">
        <v>1232.07</v>
      </c>
      <c r="G507">
        <v>7.69</v>
      </c>
      <c r="H507">
        <v>3283</v>
      </c>
      <c r="I507">
        <v>11245</v>
      </c>
      <c r="J507">
        <v>8</v>
      </c>
      <c r="K507" t="s">
        <v>21</v>
      </c>
      <c r="L507" s="1">
        <v>44705</v>
      </c>
      <c r="M507" t="s">
        <v>43</v>
      </c>
      <c r="N507" t="s">
        <v>44</v>
      </c>
      <c r="O507">
        <v>1355.277</v>
      </c>
      <c r="P507">
        <v>123.20699999999999</v>
      </c>
      <c r="Q507">
        <v>0.38</v>
      </c>
    </row>
    <row r="508" spans="1:17">
      <c r="A508" t="s">
        <v>28</v>
      </c>
      <c r="B508" t="s">
        <v>18</v>
      </c>
      <c r="C508" t="s">
        <v>40</v>
      </c>
      <c r="D508" t="s">
        <v>20</v>
      </c>
      <c r="E508">
        <v>0.09</v>
      </c>
      <c r="F508">
        <v>7816.55</v>
      </c>
      <c r="G508">
        <v>4.75</v>
      </c>
      <c r="H508">
        <v>20413</v>
      </c>
      <c r="I508">
        <v>61983</v>
      </c>
      <c r="J508">
        <v>9</v>
      </c>
      <c r="K508" t="s">
        <v>21</v>
      </c>
      <c r="L508" s="1">
        <v>44899</v>
      </c>
      <c r="M508" t="s">
        <v>26</v>
      </c>
      <c r="N508" t="s">
        <v>63</v>
      </c>
      <c r="O508">
        <v>8598.2049999999999</v>
      </c>
      <c r="P508">
        <v>781.655000000001</v>
      </c>
      <c r="Q508">
        <v>0.38</v>
      </c>
    </row>
    <row r="509" spans="1:17">
      <c r="A509" t="s">
        <v>67</v>
      </c>
      <c r="B509" t="s">
        <v>18</v>
      </c>
      <c r="C509" t="s">
        <v>35</v>
      </c>
      <c r="D509" t="s">
        <v>36</v>
      </c>
      <c r="E509">
        <v>0.06</v>
      </c>
      <c r="F509">
        <v>14825.46</v>
      </c>
      <c r="G509">
        <v>3.5</v>
      </c>
      <c r="H509">
        <v>38161</v>
      </c>
      <c r="I509">
        <v>114553</v>
      </c>
      <c r="J509">
        <v>7</v>
      </c>
      <c r="K509" t="s">
        <v>21</v>
      </c>
      <c r="L509" s="1">
        <v>44678</v>
      </c>
      <c r="M509" t="s">
        <v>71</v>
      </c>
      <c r="N509" t="s">
        <v>73</v>
      </c>
      <c r="O509">
        <v>16308.005999999999</v>
      </c>
      <c r="P509">
        <v>1482.546</v>
      </c>
      <c r="Q509">
        <v>0.39</v>
      </c>
    </row>
    <row r="510" spans="1:17">
      <c r="A510" t="s">
        <v>28</v>
      </c>
      <c r="B510" t="s">
        <v>29</v>
      </c>
      <c r="C510" t="s">
        <v>30</v>
      </c>
      <c r="D510" t="s">
        <v>20</v>
      </c>
      <c r="E510">
        <v>0.1</v>
      </c>
      <c r="F510">
        <v>5039.72</v>
      </c>
      <c r="G510">
        <v>1.06</v>
      </c>
      <c r="H510">
        <v>12877</v>
      </c>
      <c r="I510">
        <v>39663</v>
      </c>
      <c r="J510">
        <v>9</v>
      </c>
      <c r="K510" t="s">
        <v>21</v>
      </c>
      <c r="L510" s="1">
        <v>44582</v>
      </c>
      <c r="M510" t="s">
        <v>103</v>
      </c>
      <c r="N510" t="s">
        <v>27</v>
      </c>
      <c r="O510">
        <v>5543.692</v>
      </c>
      <c r="P510">
        <v>503.97199999999998</v>
      </c>
      <c r="Q510">
        <v>0.39</v>
      </c>
    </row>
    <row r="511" spans="1:17">
      <c r="A511" t="s">
        <v>28</v>
      </c>
      <c r="B511" t="s">
        <v>34</v>
      </c>
      <c r="C511" t="s">
        <v>30</v>
      </c>
      <c r="D511" t="s">
        <v>20</v>
      </c>
      <c r="E511">
        <v>0.12</v>
      </c>
      <c r="F511">
        <v>5780.88</v>
      </c>
      <c r="G511">
        <v>1.81</v>
      </c>
      <c r="H511">
        <v>14896</v>
      </c>
      <c r="I511">
        <v>45641</v>
      </c>
      <c r="J511">
        <v>9</v>
      </c>
      <c r="K511" t="s">
        <v>51</v>
      </c>
      <c r="L511" s="1">
        <v>44652</v>
      </c>
      <c r="M511" t="s">
        <v>75</v>
      </c>
      <c r="N511" t="s">
        <v>73</v>
      </c>
      <c r="O511">
        <v>6358.9679999999998</v>
      </c>
      <c r="P511">
        <v>578.08799999999997</v>
      </c>
      <c r="Q511">
        <v>0.39</v>
      </c>
    </row>
    <row r="512" spans="1:17">
      <c r="A512" t="s">
        <v>17</v>
      </c>
      <c r="B512" t="s">
        <v>25</v>
      </c>
      <c r="C512" t="s">
        <v>30</v>
      </c>
      <c r="D512" t="s">
        <v>36</v>
      </c>
      <c r="E512">
        <v>0.09</v>
      </c>
      <c r="F512">
        <v>7706.52</v>
      </c>
      <c r="G512">
        <v>6.24</v>
      </c>
      <c r="H512">
        <v>20108</v>
      </c>
      <c r="I512">
        <v>61082</v>
      </c>
      <c r="J512">
        <v>10</v>
      </c>
      <c r="K512" t="s">
        <v>46</v>
      </c>
      <c r="L512" s="1">
        <v>44598</v>
      </c>
      <c r="M512" t="s">
        <v>96</v>
      </c>
      <c r="N512" t="s">
        <v>60</v>
      </c>
      <c r="O512">
        <v>8477.1720000000005</v>
      </c>
      <c r="P512">
        <v>770.65200000000004</v>
      </c>
      <c r="Q512">
        <v>0.38</v>
      </c>
    </row>
    <row r="513" spans="1:17">
      <c r="A513" t="s">
        <v>33</v>
      </c>
      <c r="B513" t="s">
        <v>29</v>
      </c>
      <c r="C513" t="s">
        <v>35</v>
      </c>
      <c r="D513" t="s">
        <v>36</v>
      </c>
      <c r="E513">
        <v>0.03</v>
      </c>
      <c r="F513">
        <v>14826.27</v>
      </c>
      <c r="G513">
        <v>4.8099999999999996</v>
      </c>
      <c r="H513">
        <v>38161</v>
      </c>
      <c r="I513">
        <v>114555</v>
      </c>
      <c r="J513">
        <v>10</v>
      </c>
      <c r="K513" t="s">
        <v>21</v>
      </c>
      <c r="L513" s="1">
        <v>44729</v>
      </c>
      <c r="M513" t="s">
        <v>48</v>
      </c>
      <c r="N513" t="s">
        <v>69</v>
      </c>
      <c r="O513">
        <v>16308.897000000001</v>
      </c>
      <c r="P513">
        <v>1482.627</v>
      </c>
      <c r="Q513">
        <v>0.39</v>
      </c>
    </row>
    <row r="514" spans="1:17">
      <c r="A514" t="s">
        <v>67</v>
      </c>
      <c r="B514" t="s">
        <v>34</v>
      </c>
      <c r="C514" t="s">
        <v>19</v>
      </c>
      <c r="D514" t="s">
        <v>20</v>
      </c>
      <c r="E514">
        <v>0.03</v>
      </c>
      <c r="F514">
        <v>1755.53</v>
      </c>
      <c r="G514">
        <v>1.91</v>
      </c>
      <c r="H514">
        <v>4339</v>
      </c>
      <c r="I514">
        <v>14373</v>
      </c>
      <c r="J514">
        <v>9</v>
      </c>
      <c r="K514" t="s">
        <v>37</v>
      </c>
      <c r="L514" s="1">
        <v>44755</v>
      </c>
      <c r="M514" t="s">
        <v>90</v>
      </c>
      <c r="N514" t="s">
        <v>23</v>
      </c>
      <c r="O514">
        <v>1931.0830000000001</v>
      </c>
      <c r="P514">
        <v>175.553</v>
      </c>
      <c r="Q514">
        <v>0.4</v>
      </c>
    </row>
    <row r="515" spans="1:17">
      <c r="A515" t="s">
        <v>28</v>
      </c>
      <c r="B515" t="s">
        <v>34</v>
      </c>
      <c r="C515" t="s">
        <v>40</v>
      </c>
      <c r="D515" t="s">
        <v>50</v>
      </c>
      <c r="E515">
        <v>0.14000000000000001</v>
      </c>
      <c r="F515">
        <v>10292.39</v>
      </c>
      <c r="G515">
        <v>6.55</v>
      </c>
      <c r="H515">
        <v>27145</v>
      </c>
      <c r="I515">
        <v>81923</v>
      </c>
      <c r="J515">
        <v>9</v>
      </c>
      <c r="K515" t="s">
        <v>53</v>
      </c>
      <c r="L515" s="1">
        <v>44729</v>
      </c>
      <c r="M515" t="s">
        <v>82</v>
      </c>
      <c r="N515" t="s">
        <v>69</v>
      </c>
      <c r="O515">
        <v>11321.629000000001</v>
      </c>
      <c r="P515">
        <v>1029.239</v>
      </c>
      <c r="Q515">
        <v>0.38</v>
      </c>
    </row>
    <row r="516" spans="1:17">
      <c r="A516" t="s">
        <v>45</v>
      </c>
      <c r="B516" t="s">
        <v>34</v>
      </c>
      <c r="C516" t="s">
        <v>19</v>
      </c>
      <c r="D516" t="s">
        <v>42</v>
      </c>
      <c r="E516">
        <v>0.13</v>
      </c>
      <c r="F516">
        <v>2239.29</v>
      </c>
      <c r="G516">
        <v>0.92412335317441996</v>
      </c>
      <c r="H516">
        <v>3217</v>
      </c>
      <c r="I516">
        <v>11458</v>
      </c>
      <c r="J516">
        <v>1</v>
      </c>
      <c r="K516" t="s">
        <v>51</v>
      </c>
      <c r="L516" s="1">
        <v>44781</v>
      </c>
      <c r="M516" t="s">
        <v>59</v>
      </c>
      <c r="N516" t="s">
        <v>32</v>
      </c>
      <c r="O516">
        <v>2463.2190000000001</v>
      </c>
      <c r="P516">
        <v>223.929</v>
      </c>
      <c r="Q516">
        <v>0.7</v>
      </c>
    </row>
    <row r="517" spans="1:17">
      <c r="A517" t="s">
        <v>55</v>
      </c>
      <c r="B517" t="s">
        <v>18</v>
      </c>
      <c r="C517" t="s">
        <v>19</v>
      </c>
      <c r="D517" t="s">
        <v>20</v>
      </c>
      <c r="E517">
        <v>0.12</v>
      </c>
      <c r="F517">
        <v>3149.34</v>
      </c>
      <c r="G517">
        <v>3.39</v>
      </c>
      <c r="H517">
        <v>7764</v>
      </c>
      <c r="I517">
        <v>24517</v>
      </c>
      <c r="J517">
        <v>3</v>
      </c>
      <c r="K517" t="s">
        <v>21</v>
      </c>
      <c r="L517" s="1">
        <v>44657</v>
      </c>
      <c r="M517" t="s">
        <v>80</v>
      </c>
      <c r="N517" t="s">
        <v>73</v>
      </c>
      <c r="O517">
        <v>3464.2739999999999</v>
      </c>
      <c r="P517">
        <v>314.93400000000003</v>
      </c>
      <c r="Q517">
        <v>0.41</v>
      </c>
    </row>
    <row r="518" spans="1:17">
      <c r="A518" t="s">
        <v>55</v>
      </c>
      <c r="B518" t="s">
        <v>25</v>
      </c>
      <c r="C518" t="s">
        <v>30</v>
      </c>
      <c r="D518" t="s">
        <v>36</v>
      </c>
      <c r="E518">
        <v>0.12</v>
      </c>
      <c r="F518">
        <v>5978.26</v>
      </c>
      <c r="G518">
        <v>5.12</v>
      </c>
      <c r="H518">
        <v>15445</v>
      </c>
      <c r="I518">
        <v>47267</v>
      </c>
      <c r="J518">
        <v>9</v>
      </c>
      <c r="K518" t="s">
        <v>21</v>
      </c>
      <c r="L518" s="1">
        <v>44825</v>
      </c>
      <c r="M518" t="s">
        <v>43</v>
      </c>
      <c r="N518" t="s">
        <v>65</v>
      </c>
      <c r="O518">
        <v>6576.0860000000002</v>
      </c>
      <c r="P518">
        <v>597.82600000000002</v>
      </c>
      <c r="Q518">
        <v>0.39</v>
      </c>
    </row>
    <row r="519" spans="1:17">
      <c r="A519" t="s">
        <v>49</v>
      </c>
      <c r="B519" t="s">
        <v>18</v>
      </c>
      <c r="C519" t="s">
        <v>40</v>
      </c>
      <c r="D519" t="s">
        <v>20</v>
      </c>
      <c r="E519">
        <v>0.15</v>
      </c>
      <c r="F519">
        <v>10192.02</v>
      </c>
      <c r="G519">
        <v>4.53</v>
      </c>
      <c r="H519">
        <v>26877</v>
      </c>
      <c r="I519">
        <v>81129</v>
      </c>
      <c r="J519">
        <v>10</v>
      </c>
      <c r="K519" t="s">
        <v>46</v>
      </c>
      <c r="L519" s="1">
        <v>44670</v>
      </c>
      <c r="M519" t="s">
        <v>88</v>
      </c>
      <c r="N519" t="s">
        <v>73</v>
      </c>
      <c r="O519">
        <v>11211.222</v>
      </c>
      <c r="P519">
        <v>1019.202</v>
      </c>
      <c r="Q519">
        <v>0.38</v>
      </c>
    </row>
    <row r="520" spans="1:17">
      <c r="A520" t="s">
        <v>28</v>
      </c>
      <c r="B520" t="s">
        <v>25</v>
      </c>
      <c r="C520" t="s">
        <v>35</v>
      </c>
      <c r="D520" t="s">
        <v>50</v>
      </c>
      <c r="E520">
        <v>0.12</v>
      </c>
      <c r="F520">
        <v>13906.38</v>
      </c>
      <c r="G520">
        <v>1.86</v>
      </c>
      <c r="H520">
        <v>36470</v>
      </c>
      <c r="I520">
        <v>109544</v>
      </c>
      <c r="J520">
        <v>3</v>
      </c>
      <c r="K520" t="s">
        <v>46</v>
      </c>
      <c r="L520" s="1">
        <v>44891</v>
      </c>
      <c r="M520" t="s">
        <v>95</v>
      </c>
      <c r="N520" t="s">
        <v>41</v>
      </c>
      <c r="O520">
        <v>15297.018</v>
      </c>
      <c r="P520">
        <v>1390.6379999999999</v>
      </c>
      <c r="Q520">
        <v>0.38</v>
      </c>
    </row>
    <row r="521" spans="1:17">
      <c r="A521" t="s">
        <v>17</v>
      </c>
      <c r="B521" t="s">
        <v>34</v>
      </c>
      <c r="C521" t="s">
        <v>35</v>
      </c>
      <c r="D521" t="s">
        <v>20</v>
      </c>
      <c r="E521">
        <v>0.14000000000000001</v>
      </c>
      <c r="F521">
        <v>12241.11</v>
      </c>
      <c r="G521">
        <v>5.89</v>
      </c>
      <c r="H521">
        <v>32410</v>
      </c>
      <c r="I521">
        <v>97518</v>
      </c>
      <c r="J521">
        <v>7</v>
      </c>
      <c r="K521" t="s">
        <v>46</v>
      </c>
      <c r="L521" s="1">
        <v>44883</v>
      </c>
      <c r="M521" t="s">
        <v>98</v>
      </c>
      <c r="N521" t="s">
        <v>41</v>
      </c>
      <c r="O521">
        <v>13465.221</v>
      </c>
      <c r="P521">
        <v>1224.1110000000001</v>
      </c>
      <c r="Q521">
        <v>0.38</v>
      </c>
    </row>
    <row r="522" spans="1:17">
      <c r="A522" t="s">
        <v>49</v>
      </c>
      <c r="B522" t="s">
        <v>34</v>
      </c>
      <c r="C522" t="s">
        <v>30</v>
      </c>
      <c r="D522" t="s">
        <v>50</v>
      </c>
      <c r="E522">
        <v>0.04</v>
      </c>
      <c r="F522">
        <v>5004.5</v>
      </c>
      <c r="G522">
        <v>3.93</v>
      </c>
      <c r="H522">
        <v>12786</v>
      </c>
      <c r="I522">
        <v>39392</v>
      </c>
      <c r="J522">
        <v>10</v>
      </c>
      <c r="K522" t="s">
        <v>37</v>
      </c>
      <c r="L522" s="1">
        <v>44660</v>
      </c>
      <c r="M522" t="s">
        <v>89</v>
      </c>
      <c r="N522" t="s">
        <v>73</v>
      </c>
      <c r="O522">
        <v>5504.95</v>
      </c>
      <c r="P522">
        <v>500.45</v>
      </c>
      <c r="Q522">
        <v>0.39</v>
      </c>
    </row>
    <row r="523" spans="1:17">
      <c r="A523" t="s">
        <v>24</v>
      </c>
      <c r="B523" t="s">
        <v>18</v>
      </c>
      <c r="C523" t="s">
        <v>35</v>
      </c>
      <c r="D523" t="s">
        <v>20</v>
      </c>
      <c r="E523">
        <v>0.12</v>
      </c>
      <c r="F523">
        <v>13445.33</v>
      </c>
      <c r="G523">
        <v>2.6</v>
      </c>
      <c r="H523">
        <v>35452</v>
      </c>
      <c r="I523">
        <v>106530</v>
      </c>
      <c r="J523">
        <v>7</v>
      </c>
      <c r="K523" t="s">
        <v>46</v>
      </c>
      <c r="L523" s="1">
        <v>44749</v>
      </c>
      <c r="M523" t="s">
        <v>96</v>
      </c>
      <c r="N523" t="s">
        <v>23</v>
      </c>
      <c r="O523">
        <v>14789.862999999999</v>
      </c>
      <c r="P523">
        <v>1344.5329999999999</v>
      </c>
      <c r="Q523">
        <v>0.38</v>
      </c>
    </row>
    <row r="524" spans="1:17">
      <c r="A524" t="s">
        <v>67</v>
      </c>
      <c r="B524" t="s">
        <v>34</v>
      </c>
      <c r="C524" t="s">
        <v>35</v>
      </c>
      <c r="D524" t="s">
        <v>36</v>
      </c>
      <c r="E524">
        <v>0.11</v>
      </c>
      <c r="F524">
        <v>15000</v>
      </c>
      <c r="G524">
        <v>4.79</v>
      </c>
      <c r="H524">
        <v>38740</v>
      </c>
      <c r="I524">
        <v>116268</v>
      </c>
      <c r="J524">
        <v>10</v>
      </c>
      <c r="K524" t="s">
        <v>51</v>
      </c>
      <c r="L524" s="1">
        <v>44794</v>
      </c>
      <c r="M524" t="s">
        <v>79</v>
      </c>
      <c r="N524" t="s">
        <v>32</v>
      </c>
      <c r="O524">
        <v>16500</v>
      </c>
      <c r="P524">
        <v>1500</v>
      </c>
      <c r="Q524">
        <v>0.39</v>
      </c>
    </row>
    <row r="525" spans="1:17">
      <c r="A525" t="s">
        <v>17</v>
      </c>
      <c r="B525" t="s">
        <v>25</v>
      </c>
      <c r="C525" t="s">
        <v>35</v>
      </c>
      <c r="D525" t="s">
        <v>20</v>
      </c>
      <c r="E525">
        <v>0.09</v>
      </c>
      <c r="F525">
        <v>11982.25</v>
      </c>
      <c r="G525">
        <v>4.51</v>
      </c>
      <c r="H525">
        <v>31721</v>
      </c>
      <c r="I525">
        <v>95479</v>
      </c>
      <c r="J525">
        <v>5</v>
      </c>
      <c r="K525" t="s">
        <v>46</v>
      </c>
      <c r="L525" s="1">
        <v>44708</v>
      </c>
      <c r="M525" t="s">
        <v>95</v>
      </c>
      <c r="N525" t="s">
        <v>44</v>
      </c>
      <c r="O525">
        <v>13180.475</v>
      </c>
      <c r="P525">
        <v>1198.2249999999999</v>
      </c>
      <c r="Q525">
        <v>0.38</v>
      </c>
    </row>
    <row r="526" spans="1:17">
      <c r="A526" t="s">
        <v>33</v>
      </c>
      <c r="B526" t="s">
        <v>34</v>
      </c>
      <c r="C526" t="s">
        <v>30</v>
      </c>
      <c r="D526" t="s">
        <v>42</v>
      </c>
      <c r="E526">
        <v>7.0000000000000007E-2</v>
      </c>
      <c r="F526">
        <v>4960.6000000000004</v>
      </c>
      <c r="G526">
        <v>0.21449671640411999</v>
      </c>
      <c r="H526">
        <v>7436</v>
      </c>
      <c r="I526">
        <v>25195</v>
      </c>
      <c r="J526">
        <v>1</v>
      </c>
      <c r="K526" t="s">
        <v>21</v>
      </c>
      <c r="L526" s="1">
        <v>44908</v>
      </c>
      <c r="M526" t="s">
        <v>103</v>
      </c>
      <c r="N526" t="s">
        <v>63</v>
      </c>
      <c r="O526">
        <v>5456.66</v>
      </c>
      <c r="P526">
        <v>496.06</v>
      </c>
      <c r="Q526">
        <v>0.67</v>
      </c>
    </row>
    <row r="527" spans="1:17">
      <c r="A527" t="s">
        <v>49</v>
      </c>
      <c r="B527" t="s">
        <v>18</v>
      </c>
      <c r="C527" t="s">
        <v>19</v>
      </c>
      <c r="D527" t="s">
        <v>42</v>
      </c>
      <c r="E527">
        <v>0.1</v>
      </c>
      <c r="F527">
        <v>1924.72</v>
      </c>
      <c r="G527">
        <v>0.72571389050060797</v>
      </c>
      <c r="H527">
        <v>2773</v>
      </c>
      <c r="I527">
        <v>10011</v>
      </c>
      <c r="J527">
        <v>1</v>
      </c>
      <c r="K527" t="s">
        <v>37</v>
      </c>
      <c r="L527" s="1">
        <v>44576</v>
      </c>
      <c r="M527" t="s">
        <v>94</v>
      </c>
      <c r="N527" t="s">
        <v>27</v>
      </c>
      <c r="O527">
        <v>2117.192</v>
      </c>
      <c r="P527">
        <v>192.47199999999901</v>
      </c>
      <c r="Q527">
        <v>0.69</v>
      </c>
    </row>
    <row r="528" spans="1:17">
      <c r="A528" t="s">
        <v>55</v>
      </c>
      <c r="B528" t="s">
        <v>25</v>
      </c>
      <c r="C528" t="s">
        <v>40</v>
      </c>
      <c r="D528" t="s">
        <v>36</v>
      </c>
      <c r="E528">
        <v>0.13</v>
      </c>
      <c r="F528">
        <v>7904.39</v>
      </c>
      <c r="G528">
        <v>7.79</v>
      </c>
      <c r="H528">
        <v>20649</v>
      </c>
      <c r="I528">
        <v>62682</v>
      </c>
      <c r="J528">
        <v>8</v>
      </c>
      <c r="K528" t="s">
        <v>46</v>
      </c>
      <c r="L528" s="1">
        <v>44622</v>
      </c>
      <c r="M528" t="s">
        <v>96</v>
      </c>
      <c r="N528" t="s">
        <v>81</v>
      </c>
      <c r="O528">
        <v>8694.8289999999997</v>
      </c>
      <c r="P528">
        <v>790.43900000000099</v>
      </c>
      <c r="Q528">
        <v>0.38</v>
      </c>
    </row>
    <row r="529" spans="1:17">
      <c r="A529" t="s">
        <v>33</v>
      </c>
      <c r="B529" t="s">
        <v>25</v>
      </c>
      <c r="C529" t="s">
        <v>40</v>
      </c>
      <c r="D529" t="s">
        <v>50</v>
      </c>
      <c r="E529">
        <v>0.11</v>
      </c>
      <c r="F529">
        <v>10738.36</v>
      </c>
      <c r="G529">
        <v>4.34</v>
      </c>
      <c r="H529">
        <v>28361</v>
      </c>
      <c r="I529">
        <v>85526</v>
      </c>
      <c r="J529">
        <v>5</v>
      </c>
      <c r="K529" t="s">
        <v>21</v>
      </c>
      <c r="L529" s="1">
        <v>44901</v>
      </c>
      <c r="M529" t="s">
        <v>71</v>
      </c>
      <c r="N529" t="s">
        <v>63</v>
      </c>
      <c r="O529">
        <v>11812.196</v>
      </c>
      <c r="P529">
        <v>1073.836</v>
      </c>
      <c r="Q529">
        <v>0.38</v>
      </c>
    </row>
    <row r="530" spans="1:17">
      <c r="A530" t="s">
        <v>17</v>
      </c>
      <c r="B530" t="s">
        <v>29</v>
      </c>
      <c r="C530" t="s">
        <v>40</v>
      </c>
      <c r="D530" t="s">
        <v>42</v>
      </c>
      <c r="E530">
        <v>0.1</v>
      </c>
      <c r="F530">
        <v>11357.68</v>
      </c>
      <c r="G530">
        <v>0.30744529351257299</v>
      </c>
      <c r="H530">
        <v>17649</v>
      </c>
      <c r="I530">
        <v>58450</v>
      </c>
      <c r="J530">
        <v>1</v>
      </c>
      <c r="K530" t="s">
        <v>53</v>
      </c>
      <c r="L530" s="1">
        <v>44872</v>
      </c>
      <c r="M530" t="s">
        <v>82</v>
      </c>
      <c r="N530" t="s">
        <v>41</v>
      </c>
      <c r="O530">
        <v>12493.448</v>
      </c>
      <c r="P530">
        <v>1135.768</v>
      </c>
      <c r="Q530">
        <v>0.64</v>
      </c>
    </row>
    <row r="531" spans="1:17">
      <c r="A531" t="s">
        <v>55</v>
      </c>
      <c r="B531" t="s">
        <v>18</v>
      </c>
      <c r="C531" t="s">
        <v>19</v>
      </c>
      <c r="D531" t="s">
        <v>36</v>
      </c>
      <c r="E531">
        <v>0.06</v>
      </c>
      <c r="F531">
        <v>569.19000000000005</v>
      </c>
      <c r="G531">
        <v>2.91</v>
      </c>
      <c r="H531">
        <v>2183</v>
      </c>
      <c r="I531">
        <v>7985</v>
      </c>
      <c r="J531">
        <v>1</v>
      </c>
      <c r="K531" t="s">
        <v>53</v>
      </c>
      <c r="L531" s="1">
        <v>44662</v>
      </c>
      <c r="M531" t="s">
        <v>83</v>
      </c>
      <c r="N531" t="s">
        <v>73</v>
      </c>
      <c r="O531">
        <v>626.10900000000004</v>
      </c>
      <c r="P531">
        <v>56.918999999999997</v>
      </c>
      <c r="Q531">
        <v>0.26</v>
      </c>
    </row>
    <row r="532" spans="1:17">
      <c r="A532" t="s">
        <v>39</v>
      </c>
      <c r="B532" t="s">
        <v>34</v>
      </c>
      <c r="C532" t="s">
        <v>35</v>
      </c>
      <c r="D532" t="s">
        <v>42</v>
      </c>
      <c r="E532">
        <v>0.11</v>
      </c>
      <c r="F532">
        <v>14444.4</v>
      </c>
      <c r="G532">
        <v>1.36026667652946</v>
      </c>
      <c r="H532">
        <v>22045</v>
      </c>
      <c r="I532">
        <v>72766</v>
      </c>
      <c r="J532">
        <v>1</v>
      </c>
      <c r="K532" t="s">
        <v>21</v>
      </c>
      <c r="L532" s="1">
        <v>44614</v>
      </c>
      <c r="M532" t="s">
        <v>61</v>
      </c>
      <c r="N532" t="s">
        <v>60</v>
      </c>
      <c r="O532">
        <v>15888.84</v>
      </c>
      <c r="P532">
        <v>1444.44</v>
      </c>
      <c r="Q532">
        <v>0.66</v>
      </c>
    </row>
    <row r="533" spans="1:17">
      <c r="A533" t="s">
        <v>17</v>
      </c>
      <c r="B533" t="s">
        <v>25</v>
      </c>
      <c r="C533" t="s">
        <v>35</v>
      </c>
      <c r="D533" t="s">
        <v>36</v>
      </c>
      <c r="E533">
        <v>0.11</v>
      </c>
      <c r="F533">
        <v>14495.88</v>
      </c>
      <c r="G533">
        <v>7.72</v>
      </c>
      <c r="H533">
        <v>37628</v>
      </c>
      <c r="I533">
        <v>112974</v>
      </c>
      <c r="J533">
        <v>4</v>
      </c>
      <c r="K533" t="s">
        <v>37</v>
      </c>
      <c r="L533" s="1">
        <v>44905</v>
      </c>
      <c r="M533" t="s">
        <v>89</v>
      </c>
      <c r="N533" t="s">
        <v>63</v>
      </c>
      <c r="O533">
        <v>15945.468000000001</v>
      </c>
      <c r="P533">
        <v>1449.588</v>
      </c>
      <c r="Q533">
        <v>0.39</v>
      </c>
    </row>
    <row r="534" spans="1:17">
      <c r="A534" t="s">
        <v>24</v>
      </c>
      <c r="B534" t="s">
        <v>34</v>
      </c>
      <c r="C534" t="s">
        <v>35</v>
      </c>
      <c r="D534" t="s">
        <v>36</v>
      </c>
      <c r="E534">
        <v>0.04</v>
      </c>
      <c r="F534">
        <v>13452.8</v>
      </c>
      <c r="G534">
        <v>5.0599999999999996</v>
      </c>
      <c r="H534">
        <v>35471</v>
      </c>
      <c r="I534">
        <v>106587</v>
      </c>
      <c r="J534">
        <v>1</v>
      </c>
      <c r="K534" t="s">
        <v>21</v>
      </c>
      <c r="L534" s="1">
        <v>44754</v>
      </c>
      <c r="M534" t="s">
        <v>26</v>
      </c>
      <c r="N534" t="s">
        <v>23</v>
      </c>
      <c r="O534">
        <v>14798.08</v>
      </c>
      <c r="P534">
        <v>1345.28</v>
      </c>
      <c r="Q534">
        <v>0.38</v>
      </c>
    </row>
    <row r="535" spans="1:17">
      <c r="A535" t="s">
        <v>49</v>
      </c>
      <c r="B535" t="s">
        <v>34</v>
      </c>
      <c r="C535" t="s">
        <v>35</v>
      </c>
      <c r="D535" t="s">
        <v>36</v>
      </c>
      <c r="E535">
        <v>0.05</v>
      </c>
      <c r="F535">
        <v>11654.4</v>
      </c>
      <c r="G535">
        <v>6.72</v>
      </c>
      <c r="H535">
        <v>30861</v>
      </c>
      <c r="I535">
        <v>92931</v>
      </c>
      <c r="J535">
        <v>8</v>
      </c>
      <c r="K535" t="s">
        <v>21</v>
      </c>
      <c r="L535" s="1">
        <v>44673</v>
      </c>
      <c r="M535" t="s">
        <v>71</v>
      </c>
      <c r="N535" t="s">
        <v>73</v>
      </c>
      <c r="O535">
        <v>12819.84</v>
      </c>
      <c r="P535">
        <v>1165.44</v>
      </c>
      <c r="Q535">
        <v>0.38</v>
      </c>
    </row>
    <row r="536" spans="1:17">
      <c r="A536" t="s">
        <v>45</v>
      </c>
      <c r="B536" t="s">
        <v>25</v>
      </c>
      <c r="C536" t="s">
        <v>19</v>
      </c>
      <c r="D536" t="s">
        <v>20</v>
      </c>
      <c r="E536">
        <v>0.06</v>
      </c>
      <c r="F536">
        <v>1358.41</v>
      </c>
      <c r="G536">
        <v>5.45</v>
      </c>
      <c r="H536">
        <v>3525</v>
      </c>
      <c r="I536">
        <v>11962</v>
      </c>
      <c r="J536">
        <v>6</v>
      </c>
      <c r="K536" t="s">
        <v>37</v>
      </c>
      <c r="L536" s="1">
        <v>44584</v>
      </c>
      <c r="M536" t="s">
        <v>38</v>
      </c>
      <c r="N536" t="s">
        <v>27</v>
      </c>
      <c r="O536">
        <v>1494.251</v>
      </c>
      <c r="P536">
        <v>135.84100000000001</v>
      </c>
      <c r="Q536">
        <v>0.39</v>
      </c>
    </row>
    <row r="537" spans="1:17">
      <c r="A537" t="s">
        <v>33</v>
      </c>
      <c r="B537" t="s">
        <v>18</v>
      </c>
      <c r="C537" t="s">
        <v>19</v>
      </c>
      <c r="D537" t="s">
        <v>42</v>
      </c>
      <c r="E537">
        <v>0.15</v>
      </c>
      <c r="F537">
        <v>3799.03</v>
      </c>
      <c r="G537">
        <v>0.53445431837360002</v>
      </c>
      <c r="H537">
        <v>5576</v>
      </c>
      <c r="I537">
        <v>19139</v>
      </c>
      <c r="J537">
        <v>1</v>
      </c>
      <c r="K537" t="s">
        <v>21</v>
      </c>
      <c r="L537" s="1">
        <v>44889</v>
      </c>
      <c r="M537" t="s">
        <v>103</v>
      </c>
      <c r="N537" t="s">
        <v>41</v>
      </c>
      <c r="O537">
        <v>4178.933</v>
      </c>
      <c r="P537">
        <v>379.90300000000002</v>
      </c>
      <c r="Q537">
        <v>0.68</v>
      </c>
    </row>
    <row r="538" spans="1:17">
      <c r="A538" t="s">
        <v>24</v>
      </c>
      <c r="B538" t="s">
        <v>18</v>
      </c>
      <c r="C538" t="s">
        <v>19</v>
      </c>
      <c r="D538" t="s">
        <v>36</v>
      </c>
      <c r="E538">
        <v>0.11</v>
      </c>
      <c r="F538">
        <v>500</v>
      </c>
      <c r="G538">
        <v>4.4000000000000004</v>
      </c>
      <c r="H538">
        <v>1985</v>
      </c>
      <c r="I538">
        <v>7400</v>
      </c>
      <c r="J538">
        <v>7</v>
      </c>
      <c r="K538" t="s">
        <v>51</v>
      </c>
      <c r="L538" s="1">
        <v>44922</v>
      </c>
      <c r="M538" t="s">
        <v>85</v>
      </c>
      <c r="N538" t="s">
        <v>63</v>
      </c>
      <c r="O538">
        <v>550</v>
      </c>
      <c r="P538">
        <v>50</v>
      </c>
      <c r="Q538">
        <v>0.25</v>
      </c>
    </row>
    <row r="539" spans="1:17">
      <c r="A539" t="s">
        <v>28</v>
      </c>
      <c r="B539" t="s">
        <v>25</v>
      </c>
      <c r="C539" t="s">
        <v>19</v>
      </c>
      <c r="D539" t="s">
        <v>42</v>
      </c>
      <c r="E539">
        <v>0.03</v>
      </c>
      <c r="F539">
        <v>1966.42</v>
      </c>
      <c r="G539">
        <v>0.865136756163287</v>
      </c>
      <c r="H539">
        <v>2833</v>
      </c>
      <c r="I539">
        <v>10209</v>
      </c>
      <c r="J539">
        <v>1</v>
      </c>
      <c r="K539" t="s">
        <v>37</v>
      </c>
      <c r="L539" s="1">
        <v>44562</v>
      </c>
      <c r="M539" t="s">
        <v>99</v>
      </c>
      <c r="N539" t="s">
        <v>27</v>
      </c>
      <c r="O539">
        <v>2163.0619999999999</v>
      </c>
      <c r="P539">
        <v>196.642</v>
      </c>
      <c r="Q539">
        <v>0.69</v>
      </c>
    </row>
    <row r="540" spans="1:17">
      <c r="A540" t="s">
        <v>39</v>
      </c>
      <c r="B540" t="s">
        <v>29</v>
      </c>
      <c r="C540" t="s">
        <v>40</v>
      </c>
      <c r="D540" t="s">
        <v>42</v>
      </c>
      <c r="E540">
        <v>0.06</v>
      </c>
      <c r="F540">
        <v>9722.89</v>
      </c>
      <c r="G540">
        <v>1.0653336914738001</v>
      </c>
      <c r="H540">
        <v>15036</v>
      </c>
      <c r="I540">
        <v>49943</v>
      </c>
      <c r="J540">
        <v>1</v>
      </c>
      <c r="K540" t="s">
        <v>46</v>
      </c>
      <c r="L540" s="1">
        <v>44743</v>
      </c>
      <c r="M540" t="s">
        <v>98</v>
      </c>
      <c r="N540" t="s">
        <v>23</v>
      </c>
      <c r="O540">
        <v>10695.179</v>
      </c>
      <c r="P540">
        <v>972.28899999999999</v>
      </c>
      <c r="Q540">
        <v>0.65</v>
      </c>
    </row>
    <row r="541" spans="1:17">
      <c r="A541" t="s">
        <v>24</v>
      </c>
      <c r="B541" t="s">
        <v>29</v>
      </c>
      <c r="C541" t="s">
        <v>40</v>
      </c>
      <c r="D541" t="s">
        <v>42</v>
      </c>
      <c r="E541">
        <v>0.08</v>
      </c>
      <c r="F541">
        <v>7994.41</v>
      </c>
      <c r="G541">
        <v>0.15014770148288401</v>
      </c>
      <c r="H541">
        <v>12274</v>
      </c>
      <c r="I541">
        <v>40946</v>
      </c>
      <c r="J541">
        <v>1</v>
      </c>
      <c r="K541" t="s">
        <v>37</v>
      </c>
      <c r="L541" s="1">
        <v>44763</v>
      </c>
      <c r="M541" t="s">
        <v>100</v>
      </c>
      <c r="N541" t="s">
        <v>23</v>
      </c>
      <c r="O541">
        <v>8793.8510000000006</v>
      </c>
      <c r="P541">
        <v>799.44100000000003</v>
      </c>
      <c r="Q541">
        <v>0.65</v>
      </c>
    </row>
    <row r="542" spans="1:17">
      <c r="A542" t="s">
        <v>45</v>
      </c>
      <c r="B542" t="s">
        <v>18</v>
      </c>
      <c r="C542" t="s">
        <v>40</v>
      </c>
      <c r="D542" t="s">
        <v>50</v>
      </c>
      <c r="E542">
        <v>0.06</v>
      </c>
      <c r="F542">
        <v>10037.14</v>
      </c>
      <c r="G542">
        <v>2.73</v>
      </c>
      <c r="H542">
        <v>26449</v>
      </c>
      <c r="I542">
        <v>79861</v>
      </c>
      <c r="J542">
        <v>7</v>
      </c>
      <c r="K542" t="s">
        <v>53</v>
      </c>
      <c r="L542" s="1">
        <v>44734</v>
      </c>
      <c r="M542" t="s">
        <v>66</v>
      </c>
      <c r="N542" t="s">
        <v>69</v>
      </c>
      <c r="O542">
        <v>11040.853999999999</v>
      </c>
      <c r="P542">
        <v>1003.7139999999901</v>
      </c>
      <c r="Q542">
        <v>0.38</v>
      </c>
    </row>
    <row r="543" spans="1:17">
      <c r="A543" t="s">
        <v>67</v>
      </c>
      <c r="B543" t="s">
        <v>25</v>
      </c>
      <c r="C543" t="s">
        <v>30</v>
      </c>
      <c r="D543" t="s">
        <v>20</v>
      </c>
      <c r="E543">
        <v>0.13</v>
      </c>
      <c r="F543">
        <v>6692.68</v>
      </c>
      <c r="G543">
        <v>3.63</v>
      </c>
      <c r="H543">
        <v>17356</v>
      </c>
      <c r="I543">
        <v>52929</v>
      </c>
      <c r="J543">
        <v>5</v>
      </c>
      <c r="K543" t="s">
        <v>53</v>
      </c>
      <c r="L543" s="1">
        <v>44564</v>
      </c>
      <c r="M543" t="s">
        <v>58</v>
      </c>
      <c r="N543" t="s">
        <v>27</v>
      </c>
      <c r="O543">
        <v>7361.9480000000003</v>
      </c>
      <c r="P543">
        <v>669.26800000000003</v>
      </c>
      <c r="Q543">
        <v>0.39</v>
      </c>
    </row>
    <row r="544" spans="1:17">
      <c r="A544" t="s">
        <v>49</v>
      </c>
      <c r="B544" t="s">
        <v>18</v>
      </c>
      <c r="C544" t="s">
        <v>30</v>
      </c>
      <c r="D544" t="s">
        <v>42</v>
      </c>
      <c r="E544">
        <v>0.02</v>
      </c>
      <c r="F544">
        <v>4924.37</v>
      </c>
      <c r="G544">
        <v>0.79363785069524595</v>
      </c>
      <c r="H544">
        <v>7382</v>
      </c>
      <c r="I544">
        <v>25021</v>
      </c>
      <c r="J544">
        <v>1</v>
      </c>
      <c r="K544" t="s">
        <v>46</v>
      </c>
      <c r="L544" s="1">
        <v>44823</v>
      </c>
      <c r="M544" t="s">
        <v>98</v>
      </c>
      <c r="N544" t="s">
        <v>65</v>
      </c>
      <c r="O544">
        <v>5416.8069999999998</v>
      </c>
      <c r="P544">
        <v>492.43700000000001</v>
      </c>
      <c r="Q544">
        <v>0.67</v>
      </c>
    </row>
    <row r="545" spans="1:17">
      <c r="A545" t="s">
        <v>33</v>
      </c>
      <c r="B545" t="s">
        <v>29</v>
      </c>
      <c r="C545" t="s">
        <v>30</v>
      </c>
      <c r="D545" t="s">
        <v>50</v>
      </c>
      <c r="E545">
        <v>0.09</v>
      </c>
      <c r="F545">
        <v>7081.8</v>
      </c>
      <c r="G545">
        <v>4.3099999999999996</v>
      </c>
      <c r="H545">
        <v>18418</v>
      </c>
      <c r="I545">
        <v>56074</v>
      </c>
      <c r="J545">
        <v>10</v>
      </c>
      <c r="K545" t="s">
        <v>37</v>
      </c>
      <c r="L545" s="1">
        <v>44796</v>
      </c>
      <c r="M545" t="s">
        <v>89</v>
      </c>
      <c r="N545" t="s">
        <v>32</v>
      </c>
      <c r="O545">
        <v>7789.98</v>
      </c>
      <c r="P545">
        <v>708.18</v>
      </c>
      <c r="Q545">
        <v>0.38</v>
      </c>
    </row>
    <row r="546" spans="1:17">
      <c r="A546" t="s">
        <v>67</v>
      </c>
      <c r="B546" t="s">
        <v>34</v>
      </c>
      <c r="C546" t="s">
        <v>40</v>
      </c>
      <c r="D546" t="s">
        <v>20</v>
      </c>
      <c r="E546">
        <v>0.12</v>
      </c>
      <c r="F546">
        <v>9346.91</v>
      </c>
      <c r="G546">
        <v>5.18</v>
      </c>
      <c r="H546">
        <v>24556</v>
      </c>
      <c r="I546">
        <v>74255</v>
      </c>
      <c r="J546">
        <v>2</v>
      </c>
      <c r="K546" t="s">
        <v>21</v>
      </c>
      <c r="L546" s="1">
        <v>44578</v>
      </c>
      <c r="M546" t="s">
        <v>80</v>
      </c>
      <c r="N546" t="s">
        <v>27</v>
      </c>
      <c r="O546">
        <v>10281.601000000001</v>
      </c>
      <c r="P546">
        <v>934.69100000000003</v>
      </c>
      <c r="Q546">
        <v>0.38</v>
      </c>
    </row>
    <row r="547" spans="1:17">
      <c r="A547" t="s">
        <v>17</v>
      </c>
      <c r="B547" t="s">
        <v>18</v>
      </c>
      <c r="C547" t="s">
        <v>35</v>
      </c>
      <c r="D547" t="s">
        <v>42</v>
      </c>
      <c r="E547">
        <v>0.1</v>
      </c>
      <c r="F547">
        <v>14308.12</v>
      </c>
      <c r="G547">
        <v>8.9373631835049996E-3</v>
      </c>
      <c r="H547">
        <v>21899</v>
      </c>
      <c r="I547">
        <v>72286</v>
      </c>
      <c r="J547">
        <v>1</v>
      </c>
      <c r="K547" t="s">
        <v>53</v>
      </c>
      <c r="L547" s="1">
        <v>44889</v>
      </c>
      <c r="M547" t="s">
        <v>58</v>
      </c>
      <c r="N547" t="s">
        <v>41</v>
      </c>
      <c r="O547">
        <v>15738.932000000001</v>
      </c>
      <c r="P547">
        <v>1430.8119999999999</v>
      </c>
      <c r="Q547">
        <v>0.65</v>
      </c>
    </row>
    <row r="548" spans="1:17">
      <c r="A548" t="s">
        <v>24</v>
      </c>
      <c r="B548" t="s">
        <v>25</v>
      </c>
      <c r="C548" t="s">
        <v>19</v>
      </c>
      <c r="D548" t="s">
        <v>50</v>
      </c>
      <c r="E548">
        <v>0.1</v>
      </c>
      <c r="F548">
        <v>500</v>
      </c>
      <c r="G548">
        <v>1.01</v>
      </c>
      <c r="H548">
        <v>1152</v>
      </c>
      <c r="I548">
        <v>4932</v>
      </c>
      <c r="J548">
        <v>5</v>
      </c>
      <c r="K548" t="s">
        <v>37</v>
      </c>
      <c r="L548" s="1">
        <v>44634</v>
      </c>
      <c r="M548" t="s">
        <v>90</v>
      </c>
      <c r="N548" t="s">
        <v>81</v>
      </c>
      <c r="O548">
        <v>550</v>
      </c>
      <c r="P548">
        <v>50</v>
      </c>
      <c r="Q548">
        <v>0.43</v>
      </c>
    </row>
    <row r="549" spans="1:17">
      <c r="A549" t="s">
        <v>28</v>
      </c>
      <c r="B549" t="s">
        <v>18</v>
      </c>
      <c r="C549" t="s">
        <v>40</v>
      </c>
      <c r="D549" t="s">
        <v>42</v>
      </c>
      <c r="E549">
        <v>0.04</v>
      </c>
      <c r="F549">
        <v>8101.44</v>
      </c>
      <c r="G549">
        <v>0.26990836814185099</v>
      </c>
      <c r="H549">
        <v>12445</v>
      </c>
      <c r="I549">
        <v>41505</v>
      </c>
      <c r="J549">
        <v>1</v>
      </c>
      <c r="K549" t="s">
        <v>37</v>
      </c>
      <c r="L549" s="1">
        <v>44702</v>
      </c>
      <c r="M549" t="s">
        <v>90</v>
      </c>
      <c r="N549" t="s">
        <v>44</v>
      </c>
      <c r="O549">
        <v>8911.5840000000007</v>
      </c>
      <c r="P549">
        <v>810.14400000000103</v>
      </c>
      <c r="Q549">
        <v>0.65</v>
      </c>
    </row>
    <row r="550" spans="1:17">
      <c r="A550" t="s">
        <v>28</v>
      </c>
      <c r="B550" t="s">
        <v>29</v>
      </c>
      <c r="C550" t="s">
        <v>19</v>
      </c>
      <c r="D550" t="s">
        <v>20</v>
      </c>
      <c r="E550">
        <v>0.11</v>
      </c>
      <c r="F550">
        <v>2821.89</v>
      </c>
      <c r="G550">
        <v>6.86</v>
      </c>
      <c r="H550">
        <v>6910</v>
      </c>
      <c r="I550">
        <v>21988</v>
      </c>
      <c r="J550">
        <v>7</v>
      </c>
      <c r="K550" t="s">
        <v>37</v>
      </c>
      <c r="L550" s="1">
        <v>44888</v>
      </c>
      <c r="M550" t="s">
        <v>64</v>
      </c>
      <c r="N550" t="s">
        <v>41</v>
      </c>
      <c r="O550">
        <v>3104.0790000000002</v>
      </c>
      <c r="P550">
        <v>282.18900000000002</v>
      </c>
      <c r="Q550">
        <v>0.41</v>
      </c>
    </row>
    <row r="551" spans="1:17">
      <c r="A551" t="s">
        <v>49</v>
      </c>
      <c r="B551" t="s">
        <v>25</v>
      </c>
      <c r="C551" t="s">
        <v>35</v>
      </c>
      <c r="D551" t="s">
        <v>50</v>
      </c>
      <c r="E551">
        <v>0.06</v>
      </c>
      <c r="F551">
        <v>12582.63</v>
      </c>
      <c r="G551">
        <v>7.89</v>
      </c>
      <c r="H551">
        <v>33300</v>
      </c>
      <c r="I551">
        <v>100154</v>
      </c>
      <c r="J551">
        <v>1</v>
      </c>
      <c r="K551" t="s">
        <v>21</v>
      </c>
      <c r="L551" s="1">
        <v>44648</v>
      </c>
      <c r="M551" t="s">
        <v>22</v>
      </c>
      <c r="N551" t="s">
        <v>81</v>
      </c>
      <c r="O551">
        <v>13840.893</v>
      </c>
      <c r="P551">
        <v>1258.2629999999999</v>
      </c>
      <c r="Q551">
        <v>0.38</v>
      </c>
    </row>
    <row r="552" spans="1:17">
      <c r="A552" t="s">
        <v>55</v>
      </c>
      <c r="B552" t="s">
        <v>18</v>
      </c>
      <c r="C552" t="s">
        <v>19</v>
      </c>
      <c r="D552" t="s">
        <v>42</v>
      </c>
      <c r="E552">
        <v>0.09</v>
      </c>
      <c r="F552">
        <v>3204.03</v>
      </c>
      <c r="G552">
        <v>0.55769146265071401</v>
      </c>
      <c r="H552">
        <v>4641</v>
      </c>
      <c r="I552">
        <v>16094</v>
      </c>
      <c r="J552">
        <v>1</v>
      </c>
      <c r="K552" t="s">
        <v>21</v>
      </c>
      <c r="L552" s="1">
        <v>44881</v>
      </c>
      <c r="M552" t="s">
        <v>80</v>
      </c>
      <c r="N552" t="s">
        <v>41</v>
      </c>
      <c r="O552">
        <v>3524.433</v>
      </c>
      <c r="P552">
        <v>320.40300000000002</v>
      </c>
      <c r="Q552">
        <v>0.69</v>
      </c>
    </row>
    <row r="553" spans="1:17">
      <c r="A553" t="s">
        <v>45</v>
      </c>
      <c r="B553" t="s">
        <v>18</v>
      </c>
      <c r="C553" t="s">
        <v>19</v>
      </c>
      <c r="D553" t="s">
        <v>20</v>
      </c>
      <c r="E553">
        <v>7.0000000000000007E-2</v>
      </c>
      <c r="F553">
        <v>2159.08</v>
      </c>
      <c r="G553">
        <v>4</v>
      </c>
      <c r="H553">
        <v>5281</v>
      </c>
      <c r="I553">
        <v>17161</v>
      </c>
      <c r="J553">
        <v>3</v>
      </c>
      <c r="K553" t="s">
        <v>37</v>
      </c>
      <c r="L553" s="1">
        <v>44746</v>
      </c>
      <c r="M553" t="s">
        <v>99</v>
      </c>
      <c r="N553" t="s">
        <v>23</v>
      </c>
      <c r="O553">
        <v>2374.9879999999998</v>
      </c>
      <c r="P553">
        <v>215.90799999999999</v>
      </c>
      <c r="Q553">
        <v>0.41</v>
      </c>
    </row>
    <row r="554" spans="1:17">
      <c r="A554" t="s">
        <v>17</v>
      </c>
      <c r="B554" t="s">
        <v>18</v>
      </c>
      <c r="C554" t="s">
        <v>30</v>
      </c>
      <c r="D554" t="s">
        <v>36</v>
      </c>
      <c r="E554">
        <v>0.03</v>
      </c>
      <c r="F554">
        <v>5602.86</v>
      </c>
      <c r="G554">
        <v>0.18</v>
      </c>
      <c r="H554">
        <v>14416</v>
      </c>
      <c r="I554">
        <v>44222</v>
      </c>
      <c r="J554">
        <v>10</v>
      </c>
      <c r="K554" t="s">
        <v>51</v>
      </c>
      <c r="L554" s="1">
        <v>44609</v>
      </c>
      <c r="M554" t="s">
        <v>52</v>
      </c>
      <c r="N554" t="s">
        <v>60</v>
      </c>
      <c r="O554">
        <v>6163.1459999999997</v>
      </c>
      <c r="P554">
        <v>560.28599999999994</v>
      </c>
      <c r="Q554">
        <v>0.39</v>
      </c>
    </row>
    <row r="555" spans="1:17">
      <c r="A555" t="s">
        <v>24</v>
      </c>
      <c r="B555" t="s">
        <v>29</v>
      </c>
      <c r="C555" t="s">
        <v>35</v>
      </c>
      <c r="D555" t="s">
        <v>50</v>
      </c>
      <c r="E555">
        <v>0.13</v>
      </c>
      <c r="F555">
        <v>11576.83</v>
      </c>
      <c r="G555">
        <v>7.72</v>
      </c>
      <c r="H555">
        <v>30652</v>
      </c>
      <c r="I555">
        <v>92313</v>
      </c>
      <c r="J555">
        <v>2</v>
      </c>
      <c r="K555" t="s">
        <v>37</v>
      </c>
      <c r="L555" s="1">
        <v>44856</v>
      </c>
      <c r="M555" t="s">
        <v>94</v>
      </c>
      <c r="N555" t="s">
        <v>57</v>
      </c>
      <c r="O555">
        <v>12734.513000000001</v>
      </c>
      <c r="P555">
        <v>1157.683</v>
      </c>
      <c r="Q555">
        <v>0.38</v>
      </c>
    </row>
    <row r="556" spans="1:17">
      <c r="A556" t="s">
        <v>28</v>
      </c>
      <c r="B556" t="s">
        <v>29</v>
      </c>
      <c r="C556" t="s">
        <v>40</v>
      </c>
      <c r="D556" t="s">
        <v>42</v>
      </c>
      <c r="E556">
        <v>0.08</v>
      </c>
      <c r="F556">
        <v>9061.9699999999993</v>
      </c>
      <c r="G556">
        <v>1.1493449053987399</v>
      </c>
      <c r="H556">
        <v>13969</v>
      </c>
      <c r="I556">
        <v>46468</v>
      </c>
      <c r="J556">
        <v>1</v>
      </c>
      <c r="K556" t="s">
        <v>51</v>
      </c>
      <c r="L556" s="1">
        <v>44670</v>
      </c>
      <c r="M556" t="s">
        <v>101</v>
      </c>
      <c r="N556" t="s">
        <v>73</v>
      </c>
      <c r="O556">
        <v>9968.1669999999995</v>
      </c>
      <c r="P556">
        <v>906.197</v>
      </c>
      <c r="Q556">
        <v>0.65</v>
      </c>
    </row>
    <row r="557" spans="1:17">
      <c r="A557" t="s">
        <v>28</v>
      </c>
      <c r="B557" t="s">
        <v>18</v>
      </c>
      <c r="C557" t="s">
        <v>19</v>
      </c>
      <c r="D557" t="s">
        <v>42</v>
      </c>
      <c r="E557">
        <v>0.09</v>
      </c>
      <c r="F557">
        <v>1316.5</v>
      </c>
      <c r="G557">
        <v>1.2637431541476101</v>
      </c>
      <c r="H557">
        <v>2022</v>
      </c>
      <c r="I557">
        <v>7565</v>
      </c>
      <c r="J557">
        <v>1</v>
      </c>
      <c r="K557" t="s">
        <v>46</v>
      </c>
      <c r="L557" s="1">
        <v>44889</v>
      </c>
      <c r="M557" t="s">
        <v>86</v>
      </c>
      <c r="N557" t="s">
        <v>41</v>
      </c>
      <c r="O557">
        <v>1448.15</v>
      </c>
      <c r="P557">
        <v>131.65</v>
      </c>
      <c r="Q557">
        <v>0.65</v>
      </c>
    </row>
    <row r="558" spans="1:17">
      <c r="A558" t="s">
        <v>39</v>
      </c>
      <c r="B558" t="s">
        <v>34</v>
      </c>
      <c r="C558" t="s">
        <v>40</v>
      </c>
      <c r="D558" t="s">
        <v>42</v>
      </c>
      <c r="E558">
        <v>0.1</v>
      </c>
      <c r="F558">
        <v>10562.98</v>
      </c>
      <c r="G558">
        <v>0.19662199003711001</v>
      </c>
      <c r="H558">
        <v>16375</v>
      </c>
      <c r="I558">
        <v>54303</v>
      </c>
      <c r="J558">
        <v>1</v>
      </c>
      <c r="K558" t="s">
        <v>37</v>
      </c>
      <c r="L558" s="1">
        <v>44904</v>
      </c>
      <c r="M558" t="s">
        <v>100</v>
      </c>
      <c r="N558" t="s">
        <v>63</v>
      </c>
      <c r="O558">
        <v>11619.278</v>
      </c>
      <c r="P558">
        <v>1056.298</v>
      </c>
      <c r="Q558">
        <v>0.65</v>
      </c>
    </row>
    <row r="559" spans="1:17">
      <c r="A559" t="s">
        <v>45</v>
      </c>
      <c r="B559" t="s">
        <v>29</v>
      </c>
      <c r="C559" t="s">
        <v>35</v>
      </c>
      <c r="D559" t="s">
        <v>20</v>
      </c>
      <c r="E559">
        <v>0.08</v>
      </c>
      <c r="F559">
        <v>15000</v>
      </c>
      <c r="G559">
        <v>7.87</v>
      </c>
      <c r="H559">
        <v>39633</v>
      </c>
      <c r="I559">
        <v>118913</v>
      </c>
      <c r="J559">
        <v>2</v>
      </c>
      <c r="K559" t="s">
        <v>51</v>
      </c>
      <c r="L559" s="1">
        <v>44912</v>
      </c>
      <c r="M559" t="s">
        <v>101</v>
      </c>
      <c r="N559" t="s">
        <v>63</v>
      </c>
      <c r="O559">
        <v>16500</v>
      </c>
      <c r="P559">
        <v>1500</v>
      </c>
      <c r="Q559">
        <v>0.38</v>
      </c>
    </row>
    <row r="560" spans="1:17">
      <c r="A560" t="s">
        <v>55</v>
      </c>
      <c r="B560" t="s">
        <v>29</v>
      </c>
      <c r="C560" t="s">
        <v>30</v>
      </c>
      <c r="D560" t="s">
        <v>42</v>
      </c>
      <c r="E560">
        <v>0.12</v>
      </c>
      <c r="F560">
        <v>7053.87</v>
      </c>
      <c r="G560">
        <v>1.18151941285936</v>
      </c>
      <c r="H560">
        <v>10772</v>
      </c>
      <c r="I560">
        <v>36058</v>
      </c>
      <c r="J560">
        <v>1</v>
      </c>
      <c r="K560" t="s">
        <v>51</v>
      </c>
      <c r="L560" s="1">
        <v>44868</v>
      </c>
      <c r="M560" t="s">
        <v>79</v>
      </c>
      <c r="N560" t="s">
        <v>41</v>
      </c>
      <c r="O560">
        <v>7759.2569999999996</v>
      </c>
      <c r="P560">
        <v>705.38699999999994</v>
      </c>
      <c r="Q560">
        <v>0.65</v>
      </c>
    </row>
    <row r="561" spans="1:17">
      <c r="A561" t="s">
        <v>28</v>
      </c>
      <c r="B561" t="s">
        <v>25</v>
      </c>
      <c r="C561" t="s">
        <v>35</v>
      </c>
      <c r="D561" t="s">
        <v>42</v>
      </c>
      <c r="E561">
        <v>0.05</v>
      </c>
      <c r="F561">
        <v>13168.74</v>
      </c>
      <c r="G561">
        <v>1.2762554626045099</v>
      </c>
      <c r="H561">
        <v>20436</v>
      </c>
      <c r="I561">
        <v>67523</v>
      </c>
      <c r="J561">
        <v>1</v>
      </c>
      <c r="K561" t="s">
        <v>53</v>
      </c>
      <c r="L561" s="1">
        <v>44795</v>
      </c>
      <c r="M561" t="s">
        <v>66</v>
      </c>
      <c r="N561" t="s">
        <v>32</v>
      </c>
      <c r="O561">
        <v>14485.614</v>
      </c>
      <c r="P561">
        <v>1316.874</v>
      </c>
      <c r="Q561">
        <v>0.64</v>
      </c>
    </row>
    <row r="562" spans="1:17">
      <c r="A562" t="s">
        <v>49</v>
      </c>
      <c r="B562" t="s">
        <v>29</v>
      </c>
      <c r="C562" t="s">
        <v>35</v>
      </c>
      <c r="D562" t="s">
        <v>36</v>
      </c>
      <c r="E562">
        <v>0.11</v>
      </c>
      <c r="F562">
        <v>15000</v>
      </c>
      <c r="G562">
        <v>3.07</v>
      </c>
      <c r="H562">
        <v>39105</v>
      </c>
      <c r="I562">
        <v>117351</v>
      </c>
      <c r="J562">
        <v>1</v>
      </c>
      <c r="K562" t="s">
        <v>51</v>
      </c>
      <c r="L562" s="1">
        <v>44621</v>
      </c>
      <c r="M562" t="s">
        <v>72</v>
      </c>
      <c r="N562" t="s">
        <v>81</v>
      </c>
      <c r="O562">
        <v>16500</v>
      </c>
      <c r="P562">
        <v>1500</v>
      </c>
      <c r="Q562">
        <v>0.38</v>
      </c>
    </row>
    <row r="563" spans="1:17">
      <c r="A563" t="s">
        <v>28</v>
      </c>
      <c r="B563" t="s">
        <v>25</v>
      </c>
      <c r="C563" t="s">
        <v>30</v>
      </c>
      <c r="D563" t="s">
        <v>20</v>
      </c>
      <c r="E563">
        <v>7.0000000000000007E-2</v>
      </c>
      <c r="F563">
        <v>7016.32</v>
      </c>
      <c r="G563">
        <v>2.94</v>
      </c>
      <c r="H563">
        <v>18243</v>
      </c>
      <c r="I563">
        <v>55556</v>
      </c>
      <c r="J563">
        <v>2</v>
      </c>
      <c r="K563" t="s">
        <v>37</v>
      </c>
      <c r="L563" s="1">
        <v>44759</v>
      </c>
      <c r="M563" t="s">
        <v>74</v>
      </c>
      <c r="N563" t="s">
        <v>23</v>
      </c>
      <c r="O563">
        <v>7717.9520000000002</v>
      </c>
      <c r="P563">
        <v>701.63199999999995</v>
      </c>
      <c r="Q563">
        <v>0.38</v>
      </c>
    </row>
    <row r="564" spans="1:17">
      <c r="A564" t="s">
        <v>67</v>
      </c>
      <c r="B564" t="s">
        <v>25</v>
      </c>
      <c r="C564" t="s">
        <v>35</v>
      </c>
      <c r="D564" t="s">
        <v>42</v>
      </c>
      <c r="E564">
        <v>0.08</v>
      </c>
      <c r="F564">
        <v>13849.87</v>
      </c>
      <c r="G564">
        <v>0.31280771142267599</v>
      </c>
      <c r="H564">
        <v>21351</v>
      </c>
      <c r="I564">
        <v>70505</v>
      </c>
      <c r="J564">
        <v>1</v>
      </c>
      <c r="K564" t="s">
        <v>37</v>
      </c>
      <c r="L564" s="1">
        <v>44823</v>
      </c>
      <c r="M564" t="s">
        <v>90</v>
      </c>
      <c r="N564" t="s">
        <v>65</v>
      </c>
      <c r="O564">
        <v>15234.857</v>
      </c>
      <c r="P564">
        <v>1384.9870000000001</v>
      </c>
      <c r="Q564">
        <v>0.65</v>
      </c>
    </row>
    <row r="565" spans="1:17">
      <c r="A565" t="s">
        <v>28</v>
      </c>
      <c r="B565" t="s">
        <v>25</v>
      </c>
      <c r="C565" t="s">
        <v>30</v>
      </c>
      <c r="D565" t="s">
        <v>36</v>
      </c>
      <c r="E565">
        <v>0.13</v>
      </c>
      <c r="F565">
        <v>7536.17</v>
      </c>
      <c r="G565">
        <v>2.41</v>
      </c>
      <c r="H565">
        <v>19642</v>
      </c>
      <c r="I565">
        <v>59701</v>
      </c>
      <c r="J565">
        <v>2</v>
      </c>
      <c r="K565" t="s">
        <v>51</v>
      </c>
      <c r="L565" s="1">
        <v>44866</v>
      </c>
      <c r="M565" t="s">
        <v>101</v>
      </c>
      <c r="N565" t="s">
        <v>41</v>
      </c>
      <c r="O565">
        <v>8289.7870000000003</v>
      </c>
      <c r="P565">
        <v>753.61699999999996</v>
      </c>
      <c r="Q565">
        <v>0.38</v>
      </c>
    </row>
    <row r="566" spans="1:17">
      <c r="A566" t="s">
        <v>49</v>
      </c>
      <c r="B566" t="s">
        <v>18</v>
      </c>
      <c r="C566" t="s">
        <v>19</v>
      </c>
      <c r="D566" t="s">
        <v>36</v>
      </c>
      <c r="E566">
        <v>0.06</v>
      </c>
      <c r="F566">
        <v>1931.88</v>
      </c>
      <c r="G566">
        <v>2.93</v>
      </c>
      <c r="H566">
        <v>4739</v>
      </c>
      <c r="I566">
        <v>15556</v>
      </c>
      <c r="J566">
        <v>8</v>
      </c>
      <c r="K566" t="s">
        <v>37</v>
      </c>
      <c r="L566" s="1">
        <v>44602</v>
      </c>
      <c r="M566" t="s">
        <v>64</v>
      </c>
      <c r="N566" t="s">
        <v>60</v>
      </c>
      <c r="O566">
        <v>2125.0680000000002</v>
      </c>
      <c r="P566">
        <v>193.18799999999999</v>
      </c>
      <c r="Q566">
        <v>0.41</v>
      </c>
    </row>
    <row r="567" spans="1:17">
      <c r="A567" t="s">
        <v>45</v>
      </c>
      <c r="B567" t="s">
        <v>18</v>
      </c>
      <c r="C567" t="s">
        <v>40</v>
      </c>
      <c r="D567" t="s">
        <v>36</v>
      </c>
      <c r="E567">
        <v>0.14000000000000001</v>
      </c>
      <c r="F567">
        <v>9508.1</v>
      </c>
      <c r="G567">
        <v>3.02</v>
      </c>
      <c r="H567">
        <v>25001</v>
      </c>
      <c r="I567">
        <v>75573</v>
      </c>
      <c r="J567">
        <v>7</v>
      </c>
      <c r="K567" t="s">
        <v>51</v>
      </c>
      <c r="L567" s="1">
        <v>44878</v>
      </c>
      <c r="M567" t="s">
        <v>59</v>
      </c>
      <c r="N567" t="s">
        <v>41</v>
      </c>
      <c r="O567">
        <v>10458.91</v>
      </c>
      <c r="P567">
        <v>950.81000000000097</v>
      </c>
      <c r="Q567">
        <v>0.38</v>
      </c>
    </row>
    <row r="568" spans="1:17">
      <c r="A568" t="s">
        <v>67</v>
      </c>
      <c r="B568" t="s">
        <v>34</v>
      </c>
      <c r="C568" t="s">
        <v>35</v>
      </c>
      <c r="D568" t="s">
        <v>36</v>
      </c>
      <c r="E568">
        <v>0.02</v>
      </c>
      <c r="F568">
        <v>13793.32</v>
      </c>
      <c r="G568">
        <v>4.04</v>
      </c>
      <c r="H568">
        <v>36232</v>
      </c>
      <c r="I568">
        <v>108841</v>
      </c>
      <c r="J568">
        <v>6</v>
      </c>
      <c r="K568" t="s">
        <v>53</v>
      </c>
      <c r="L568" s="1">
        <v>44615</v>
      </c>
      <c r="M568" t="s">
        <v>83</v>
      </c>
      <c r="N568" t="s">
        <v>60</v>
      </c>
      <c r="O568">
        <v>15172.652</v>
      </c>
      <c r="P568">
        <v>1379.3320000000001</v>
      </c>
      <c r="Q568">
        <v>0.38</v>
      </c>
    </row>
    <row r="569" spans="1:17">
      <c r="A569" t="s">
        <v>55</v>
      </c>
      <c r="B569" t="s">
        <v>18</v>
      </c>
      <c r="C569" t="s">
        <v>30</v>
      </c>
      <c r="D569" t="s">
        <v>20</v>
      </c>
      <c r="E569">
        <v>0.1</v>
      </c>
      <c r="F569">
        <v>6930.73</v>
      </c>
      <c r="G569">
        <v>7.73</v>
      </c>
      <c r="H569">
        <v>18011</v>
      </c>
      <c r="I569">
        <v>54868</v>
      </c>
      <c r="J569">
        <v>7</v>
      </c>
      <c r="K569" t="s">
        <v>51</v>
      </c>
      <c r="L569" s="1">
        <v>44668</v>
      </c>
      <c r="M569" t="s">
        <v>97</v>
      </c>
      <c r="N569" t="s">
        <v>73</v>
      </c>
      <c r="O569">
        <v>7623.8029999999999</v>
      </c>
      <c r="P569">
        <v>693.07299999999998</v>
      </c>
      <c r="Q569">
        <v>0.38</v>
      </c>
    </row>
    <row r="570" spans="1:17">
      <c r="A570" t="s">
        <v>49</v>
      </c>
      <c r="B570" t="s">
        <v>18</v>
      </c>
      <c r="C570" t="s">
        <v>40</v>
      </c>
      <c r="D570" t="s">
        <v>36</v>
      </c>
      <c r="E570">
        <v>0.09</v>
      </c>
      <c r="F570">
        <v>9813.94</v>
      </c>
      <c r="G570">
        <v>4.96</v>
      </c>
      <c r="H570">
        <v>25858</v>
      </c>
      <c r="I570">
        <v>78112</v>
      </c>
      <c r="J570">
        <v>1</v>
      </c>
      <c r="K570" t="s">
        <v>21</v>
      </c>
      <c r="L570" s="1">
        <v>44571</v>
      </c>
      <c r="M570" t="s">
        <v>31</v>
      </c>
      <c r="N570" t="s">
        <v>27</v>
      </c>
      <c r="O570">
        <v>10795.334000000001</v>
      </c>
      <c r="P570">
        <v>981.39400000000001</v>
      </c>
      <c r="Q570">
        <v>0.38</v>
      </c>
    </row>
    <row r="571" spans="1:17">
      <c r="A571" t="s">
        <v>67</v>
      </c>
      <c r="B571" t="s">
        <v>34</v>
      </c>
      <c r="C571" t="s">
        <v>35</v>
      </c>
      <c r="D571" t="s">
        <v>20</v>
      </c>
      <c r="E571">
        <v>0.09</v>
      </c>
      <c r="F571">
        <v>15000</v>
      </c>
      <c r="G571">
        <v>5.15</v>
      </c>
      <c r="H571">
        <v>38711</v>
      </c>
      <c r="I571">
        <v>116182</v>
      </c>
      <c r="J571">
        <v>6</v>
      </c>
      <c r="K571" t="s">
        <v>21</v>
      </c>
      <c r="L571" s="1">
        <v>44792</v>
      </c>
      <c r="M571" t="s">
        <v>80</v>
      </c>
      <c r="N571" t="s">
        <v>32</v>
      </c>
      <c r="O571">
        <v>16500</v>
      </c>
      <c r="P571">
        <v>1500</v>
      </c>
      <c r="Q571">
        <v>0.39</v>
      </c>
    </row>
    <row r="572" spans="1:17">
      <c r="A572" t="s">
        <v>28</v>
      </c>
      <c r="B572" t="s">
        <v>25</v>
      </c>
      <c r="C572" t="s">
        <v>30</v>
      </c>
      <c r="D572" t="s">
        <v>42</v>
      </c>
      <c r="E572">
        <v>0.02</v>
      </c>
      <c r="F572">
        <v>4528.24</v>
      </c>
      <c r="G572">
        <v>0.42541848753483902</v>
      </c>
      <c r="H572">
        <v>6746</v>
      </c>
      <c r="I572">
        <v>22947</v>
      </c>
      <c r="J572">
        <v>1</v>
      </c>
      <c r="K572" t="s">
        <v>46</v>
      </c>
      <c r="L572" s="1">
        <v>44716</v>
      </c>
      <c r="M572" t="s">
        <v>88</v>
      </c>
      <c r="N572" t="s">
        <v>69</v>
      </c>
      <c r="O572">
        <v>4981.0640000000003</v>
      </c>
      <c r="P572">
        <v>452.82400000000001</v>
      </c>
      <c r="Q572">
        <v>0.67</v>
      </c>
    </row>
    <row r="573" spans="1:17">
      <c r="A573" t="s">
        <v>33</v>
      </c>
      <c r="B573" t="s">
        <v>18</v>
      </c>
      <c r="C573" t="s">
        <v>30</v>
      </c>
      <c r="D573" t="s">
        <v>36</v>
      </c>
      <c r="E573">
        <v>0.13</v>
      </c>
      <c r="F573">
        <v>6535.31</v>
      </c>
      <c r="G573">
        <v>0.23</v>
      </c>
      <c r="H573">
        <v>16939</v>
      </c>
      <c r="I573">
        <v>51695</v>
      </c>
      <c r="J573">
        <v>6</v>
      </c>
      <c r="K573" t="s">
        <v>46</v>
      </c>
      <c r="L573" s="1">
        <v>44752</v>
      </c>
      <c r="M573" t="s">
        <v>76</v>
      </c>
      <c r="N573" t="s">
        <v>23</v>
      </c>
      <c r="O573">
        <v>7188.8410000000003</v>
      </c>
      <c r="P573">
        <v>653.53099999999995</v>
      </c>
      <c r="Q573">
        <v>0.39</v>
      </c>
    </row>
    <row r="574" spans="1:17">
      <c r="A574" t="s">
        <v>45</v>
      </c>
      <c r="B574" t="s">
        <v>34</v>
      </c>
      <c r="C574" t="s">
        <v>19</v>
      </c>
      <c r="D574" t="s">
        <v>50</v>
      </c>
      <c r="E574">
        <v>0.14000000000000001</v>
      </c>
      <c r="F574">
        <v>500</v>
      </c>
      <c r="G574">
        <v>3.4</v>
      </c>
      <c r="H574">
        <v>1514</v>
      </c>
      <c r="I574">
        <v>6004</v>
      </c>
      <c r="J574">
        <v>9</v>
      </c>
      <c r="K574" t="s">
        <v>37</v>
      </c>
      <c r="L574" s="1">
        <v>44828</v>
      </c>
      <c r="M574" t="s">
        <v>94</v>
      </c>
      <c r="N574" t="s">
        <v>65</v>
      </c>
      <c r="O574">
        <v>550</v>
      </c>
      <c r="P574">
        <v>50</v>
      </c>
      <c r="Q574">
        <v>0.33</v>
      </c>
    </row>
    <row r="575" spans="1:17">
      <c r="A575" t="s">
        <v>49</v>
      </c>
      <c r="B575" t="s">
        <v>25</v>
      </c>
      <c r="C575" t="s">
        <v>35</v>
      </c>
      <c r="D575" t="s">
        <v>50</v>
      </c>
      <c r="E575">
        <v>0.09</v>
      </c>
      <c r="F575">
        <v>13166.61</v>
      </c>
      <c r="G575">
        <v>5.09</v>
      </c>
      <c r="H575">
        <v>34789</v>
      </c>
      <c r="I575">
        <v>104564</v>
      </c>
      <c r="J575">
        <v>10</v>
      </c>
      <c r="K575" t="s">
        <v>53</v>
      </c>
      <c r="L575" s="1">
        <v>44730</v>
      </c>
      <c r="M575" t="s">
        <v>54</v>
      </c>
      <c r="N575" t="s">
        <v>69</v>
      </c>
      <c r="O575">
        <v>14483.271000000001</v>
      </c>
      <c r="P575">
        <v>1316.6610000000001</v>
      </c>
      <c r="Q575">
        <v>0.38</v>
      </c>
    </row>
    <row r="576" spans="1:17">
      <c r="A576" t="s">
        <v>67</v>
      </c>
      <c r="B576" t="s">
        <v>29</v>
      </c>
      <c r="C576" t="s">
        <v>40</v>
      </c>
      <c r="D576" t="s">
        <v>20</v>
      </c>
      <c r="E576">
        <v>0.12</v>
      </c>
      <c r="F576">
        <v>9298.1200000000008</v>
      </c>
      <c r="G576">
        <v>1.36</v>
      </c>
      <c r="H576">
        <v>24429</v>
      </c>
      <c r="I576">
        <v>73880</v>
      </c>
      <c r="J576">
        <v>9</v>
      </c>
      <c r="K576" t="s">
        <v>51</v>
      </c>
      <c r="L576" s="1">
        <v>44732</v>
      </c>
      <c r="M576" t="s">
        <v>79</v>
      </c>
      <c r="N576" t="s">
        <v>69</v>
      </c>
      <c r="O576">
        <v>10227.932000000001</v>
      </c>
      <c r="P576">
        <v>929.81200000000104</v>
      </c>
      <c r="Q576">
        <v>0.38</v>
      </c>
    </row>
    <row r="577" spans="1:17">
      <c r="A577" t="s">
        <v>39</v>
      </c>
      <c r="B577" t="s">
        <v>18</v>
      </c>
      <c r="C577" t="s">
        <v>35</v>
      </c>
      <c r="D577" t="s">
        <v>36</v>
      </c>
      <c r="E577">
        <v>0.09</v>
      </c>
      <c r="F577">
        <v>15000</v>
      </c>
      <c r="G577">
        <v>7.6</v>
      </c>
      <c r="H577">
        <v>38711</v>
      </c>
      <c r="I577">
        <v>116183</v>
      </c>
      <c r="J577">
        <v>2</v>
      </c>
      <c r="K577" t="s">
        <v>37</v>
      </c>
      <c r="L577" s="1">
        <v>44567</v>
      </c>
      <c r="M577" t="s">
        <v>91</v>
      </c>
      <c r="N577" t="s">
        <v>27</v>
      </c>
      <c r="O577">
        <v>16500</v>
      </c>
      <c r="P577">
        <v>1500</v>
      </c>
      <c r="Q577">
        <v>0.39</v>
      </c>
    </row>
    <row r="578" spans="1:17">
      <c r="A578" t="s">
        <v>45</v>
      </c>
      <c r="B578" t="s">
        <v>25</v>
      </c>
      <c r="C578" t="s">
        <v>19</v>
      </c>
      <c r="D578" t="s">
        <v>42</v>
      </c>
      <c r="E578">
        <v>0.04</v>
      </c>
      <c r="F578">
        <v>500</v>
      </c>
      <c r="G578">
        <v>1.3209422785220399</v>
      </c>
      <c r="H578">
        <v>994</v>
      </c>
      <c r="I578">
        <v>4217</v>
      </c>
      <c r="J578">
        <v>1</v>
      </c>
      <c r="K578" t="s">
        <v>51</v>
      </c>
      <c r="L578" s="1">
        <v>44570</v>
      </c>
      <c r="M578" t="s">
        <v>79</v>
      </c>
      <c r="N578" t="s">
        <v>27</v>
      </c>
      <c r="O578">
        <v>550</v>
      </c>
      <c r="P578">
        <v>50</v>
      </c>
      <c r="Q578">
        <v>0.5</v>
      </c>
    </row>
    <row r="579" spans="1:17">
      <c r="A579" t="s">
        <v>39</v>
      </c>
      <c r="B579" t="s">
        <v>25</v>
      </c>
      <c r="C579" t="s">
        <v>19</v>
      </c>
      <c r="D579" t="s">
        <v>42</v>
      </c>
      <c r="E579">
        <v>7.0000000000000007E-2</v>
      </c>
      <c r="F579">
        <v>1223.17</v>
      </c>
      <c r="G579">
        <v>0.875861591983493</v>
      </c>
      <c r="H579">
        <v>1918</v>
      </c>
      <c r="I579">
        <v>7229</v>
      </c>
      <c r="J579">
        <v>1</v>
      </c>
      <c r="K579" t="s">
        <v>53</v>
      </c>
      <c r="L579" s="1">
        <v>44681</v>
      </c>
      <c r="M579" t="s">
        <v>78</v>
      </c>
      <c r="N579" t="s">
        <v>73</v>
      </c>
      <c r="O579">
        <v>1345.4870000000001</v>
      </c>
      <c r="P579">
        <v>122.31699999999999</v>
      </c>
      <c r="Q579">
        <v>0.64</v>
      </c>
    </row>
    <row r="580" spans="1:17">
      <c r="A580" t="s">
        <v>49</v>
      </c>
      <c r="B580" t="s">
        <v>34</v>
      </c>
      <c r="C580" t="s">
        <v>35</v>
      </c>
      <c r="D580" t="s">
        <v>50</v>
      </c>
      <c r="E580">
        <v>0.09</v>
      </c>
      <c r="F580">
        <v>15000</v>
      </c>
      <c r="G580">
        <v>4.99</v>
      </c>
      <c r="H580">
        <v>38951</v>
      </c>
      <c r="I580">
        <v>116894</v>
      </c>
      <c r="J580">
        <v>4</v>
      </c>
      <c r="K580" t="s">
        <v>51</v>
      </c>
      <c r="L580" s="1">
        <v>44883</v>
      </c>
      <c r="M580" t="s">
        <v>97</v>
      </c>
      <c r="N580" t="s">
        <v>41</v>
      </c>
      <c r="O580">
        <v>16500</v>
      </c>
      <c r="P580">
        <v>1500</v>
      </c>
      <c r="Q580">
        <v>0.39</v>
      </c>
    </row>
    <row r="581" spans="1:17">
      <c r="A581" t="s">
        <v>33</v>
      </c>
      <c r="B581" t="s">
        <v>18</v>
      </c>
      <c r="C581" t="s">
        <v>40</v>
      </c>
      <c r="D581" t="s">
        <v>50</v>
      </c>
      <c r="E581">
        <v>0.1</v>
      </c>
      <c r="F581">
        <v>10420.35</v>
      </c>
      <c r="G581">
        <v>5.47</v>
      </c>
      <c r="H581">
        <v>27494</v>
      </c>
      <c r="I581">
        <v>82959</v>
      </c>
      <c r="J581">
        <v>5</v>
      </c>
      <c r="K581" t="s">
        <v>46</v>
      </c>
      <c r="L581" s="1">
        <v>44633</v>
      </c>
      <c r="M581" t="s">
        <v>76</v>
      </c>
      <c r="N581" t="s">
        <v>81</v>
      </c>
      <c r="O581">
        <v>11462.385</v>
      </c>
      <c r="P581">
        <v>1042.0350000000001</v>
      </c>
      <c r="Q581">
        <v>0.38</v>
      </c>
    </row>
    <row r="582" spans="1:17">
      <c r="A582" t="s">
        <v>49</v>
      </c>
      <c r="B582" t="s">
        <v>29</v>
      </c>
      <c r="C582" t="s">
        <v>35</v>
      </c>
      <c r="D582" t="s">
        <v>50</v>
      </c>
      <c r="E582">
        <v>0.03</v>
      </c>
      <c r="F582">
        <v>12891.72</v>
      </c>
      <c r="G582">
        <v>1.97</v>
      </c>
      <c r="H582">
        <v>34106</v>
      </c>
      <c r="I582">
        <v>102543</v>
      </c>
      <c r="J582">
        <v>2</v>
      </c>
      <c r="K582" t="s">
        <v>37</v>
      </c>
      <c r="L582" s="1">
        <v>44734</v>
      </c>
      <c r="M582" t="s">
        <v>94</v>
      </c>
      <c r="N582" t="s">
        <v>69</v>
      </c>
      <c r="O582">
        <v>14180.892</v>
      </c>
      <c r="P582">
        <v>1289.172</v>
      </c>
      <c r="Q582">
        <v>0.38</v>
      </c>
    </row>
    <row r="583" spans="1:17">
      <c r="A583" t="s">
        <v>67</v>
      </c>
      <c r="B583" t="s">
        <v>29</v>
      </c>
      <c r="C583" t="s">
        <v>19</v>
      </c>
      <c r="D583" t="s">
        <v>36</v>
      </c>
      <c r="E583">
        <v>0.13</v>
      </c>
      <c r="F583">
        <v>3158.63</v>
      </c>
      <c r="G583">
        <v>0.42</v>
      </c>
      <c r="H583">
        <v>7788</v>
      </c>
      <c r="I583">
        <v>24588</v>
      </c>
      <c r="J583">
        <v>5</v>
      </c>
      <c r="K583" t="s">
        <v>53</v>
      </c>
      <c r="L583" s="1">
        <v>44737</v>
      </c>
      <c r="M583" t="s">
        <v>102</v>
      </c>
      <c r="N583" t="s">
        <v>69</v>
      </c>
      <c r="O583">
        <v>3474.4929999999999</v>
      </c>
      <c r="P583">
        <v>315.863</v>
      </c>
      <c r="Q583">
        <v>0.41</v>
      </c>
    </row>
    <row r="584" spans="1:17">
      <c r="A584" t="s">
        <v>55</v>
      </c>
      <c r="B584" t="s">
        <v>18</v>
      </c>
      <c r="C584" t="s">
        <v>19</v>
      </c>
      <c r="D584" t="s">
        <v>36</v>
      </c>
      <c r="E584">
        <v>0.05</v>
      </c>
      <c r="F584">
        <v>2365.7800000000002</v>
      </c>
      <c r="G584">
        <v>4</v>
      </c>
      <c r="H584">
        <v>5786</v>
      </c>
      <c r="I584">
        <v>18657</v>
      </c>
      <c r="J584">
        <v>4</v>
      </c>
      <c r="K584" t="s">
        <v>21</v>
      </c>
      <c r="L584" s="1">
        <v>44706</v>
      </c>
      <c r="M584" t="s">
        <v>103</v>
      </c>
      <c r="N584" t="s">
        <v>44</v>
      </c>
      <c r="O584">
        <v>2602.3580000000002</v>
      </c>
      <c r="P584">
        <v>236.578</v>
      </c>
      <c r="Q584">
        <v>0.41</v>
      </c>
    </row>
    <row r="585" spans="1:17">
      <c r="A585" t="s">
        <v>17</v>
      </c>
      <c r="B585" t="s">
        <v>34</v>
      </c>
      <c r="C585" t="s">
        <v>35</v>
      </c>
      <c r="D585" t="s">
        <v>50</v>
      </c>
      <c r="E585">
        <v>0.05</v>
      </c>
      <c r="F585">
        <v>13271.36</v>
      </c>
      <c r="G585">
        <v>7.07</v>
      </c>
      <c r="H585">
        <v>35041</v>
      </c>
      <c r="I585">
        <v>105312</v>
      </c>
      <c r="J585">
        <v>5</v>
      </c>
      <c r="K585" t="s">
        <v>53</v>
      </c>
      <c r="L585" s="1">
        <v>44820</v>
      </c>
      <c r="M585" t="s">
        <v>66</v>
      </c>
      <c r="N585" t="s">
        <v>65</v>
      </c>
      <c r="O585">
        <v>14598.495999999999</v>
      </c>
      <c r="P585">
        <v>1327.136</v>
      </c>
      <c r="Q585">
        <v>0.38</v>
      </c>
    </row>
    <row r="586" spans="1:17">
      <c r="A586" t="s">
        <v>24</v>
      </c>
      <c r="B586" t="s">
        <v>18</v>
      </c>
      <c r="C586" t="s">
        <v>40</v>
      </c>
      <c r="D586" t="s">
        <v>20</v>
      </c>
      <c r="E586">
        <v>0.04</v>
      </c>
      <c r="F586">
        <v>8133.99</v>
      </c>
      <c r="G586">
        <v>0.33</v>
      </c>
      <c r="H586">
        <v>21286</v>
      </c>
      <c r="I586">
        <v>64570</v>
      </c>
      <c r="J586">
        <v>2</v>
      </c>
      <c r="K586" t="s">
        <v>53</v>
      </c>
      <c r="L586" s="1">
        <v>44840</v>
      </c>
      <c r="M586" t="s">
        <v>104</v>
      </c>
      <c r="N586" t="s">
        <v>57</v>
      </c>
      <c r="O586">
        <v>8947.3889999999992</v>
      </c>
      <c r="P586">
        <v>813.39900000000102</v>
      </c>
      <c r="Q586">
        <v>0.38</v>
      </c>
    </row>
    <row r="587" spans="1:17">
      <c r="A587" t="s">
        <v>17</v>
      </c>
      <c r="B587" t="s">
        <v>29</v>
      </c>
      <c r="C587" t="s">
        <v>19</v>
      </c>
      <c r="D587" t="s">
        <v>42</v>
      </c>
      <c r="E587">
        <v>0.06</v>
      </c>
      <c r="F587">
        <v>500</v>
      </c>
      <c r="G587">
        <v>0.99919720391586198</v>
      </c>
      <c r="H587">
        <v>609</v>
      </c>
      <c r="I587">
        <v>2965</v>
      </c>
      <c r="J587">
        <v>1</v>
      </c>
      <c r="K587" t="s">
        <v>46</v>
      </c>
      <c r="L587" s="1">
        <v>44719</v>
      </c>
      <c r="M587" t="s">
        <v>96</v>
      </c>
      <c r="N587" t="s">
        <v>69</v>
      </c>
      <c r="O587">
        <v>550</v>
      </c>
      <c r="P587">
        <v>50</v>
      </c>
      <c r="Q587">
        <v>0.82</v>
      </c>
    </row>
    <row r="588" spans="1:17">
      <c r="A588" t="s">
        <v>24</v>
      </c>
      <c r="B588" t="s">
        <v>34</v>
      </c>
      <c r="C588" t="s">
        <v>19</v>
      </c>
      <c r="D588" t="s">
        <v>20</v>
      </c>
      <c r="E588">
        <v>0.03</v>
      </c>
      <c r="F588">
        <v>500</v>
      </c>
      <c r="G588">
        <v>0.2</v>
      </c>
      <c r="H588">
        <v>724</v>
      </c>
      <c r="I588">
        <v>3666</v>
      </c>
      <c r="J588">
        <v>10</v>
      </c>
      <c r="K588" t="s">
        <v>53</v>
      </c>
      <c r="L588" s="1">
        <v>44654</v>
      </c>
      <c r="M588" t="s">
        <v>83</v>
      </c>
      <c r="N588" t="s">
        <v>73</v>
      </c>
      <c r="O588">
        <v>550</v>
      </c>
      <c r="P588">
        <v>50</v>
      </c>
      <c r="Q588">
        <v>0.69</v>
      </c>
    </row>
    <row r="589" spans="1:17">
      <c r="A589" t="s">
        <v>45</v>
      </c>
      <c r="B589" t="s">
        <v>29</v>
      </c>
      <c r="C589" t="s">
        <v>40</v>
      </c>
      <c r="D589" t="s">
        <v>36</v>
      </c>
      <c r="E589">
        <v>0.1</v>
      </c>
      <c r="F589">
        <v>10150.66</v>
      </c>
      <c r="G589">
        <v>2.98</v>
      </c>
      <c r="H589">
        <v>26769</v>
      </c>
      <c r="I589">
        <v>80812</v>
      </c>
      <c r="J589">
        <v>3</v>
      </c>
      <c r="K589" t="s">
        <v>53</v>
      </c>
      <c r="L589" s="1">
        <v>44750</v>
      </c>
      <c r="M589" t="s">
        <v>54</v>
      </c>
      <c r="N589" t="s">
        <v>23</v>
      </c>
      <c r="O589">
        <v>11165.726000000001</v>
      </c>
      <c r="P589">
        <v>1015.066</v>
      </c>
      <c r="Q589">
        <v>0.38</v>
      </c>
    </row>
    <row r="590" spans="1:17">
      <c r="A590" t="s">
        <v>28</v>
      </c>
      <c r="B590" t="s">
        <v>25</v>
      </c>
      <c r="C590" t="s">
        <v>35</v>
      </c>
      <c r="D590" t="s">
        <v>36</v>
      </c>
      <c r="E590">
        <v>0.13</v>
      </c>
      <c r="F590">
        <v>14265.89</v>
      </c>
      <c r="G590">
        <v>0.03</v>
      </c>
      <c r="H590">
        <v>37210</v>
      </c>
      <c r="I590">
        <v>111738</v>
      </c>
      <c r="J590">
        <v>6</v>
      </c>
      <c r="K590" t="s">
        <v>53</v>
      </c>
      <c r="L590" s="1">
        <v>44862</v>
      </c>
      <c r="M590" t="s">
        <v>68</v>
      </c>
      <c r="N590" t="s">
        <v>57</v>
      </c>
      <c r="O590">
        <v>15692.478999999999</v>
      </c>
      <c r="P590">
        <v>1426.5889999999999</v>
      </c>
      <c r="Q590">
        <v>0.38</v>
      </c>
    </row>
    <row r="591" spans="1:17">
      <c r="A591" t="s">
        <v>33</v>
      </c>
      <c r="B591" t="s">
        <v>29</v>
      </c>
      <c r="C591" t="s">
        <v>35</v>
      </c>
      <c r="D591" t="s">
        <v>36</v>
      </c>
      <c r="E591">
        <v>0.09</v>
      </c>
      <c r="F591">
        <v>15000</v>
      </c>
      <c r="G591">
        <v>2.57</v>
      </c>
      <c r="H591">
        <v>39344</v>
      </c>
      <c r="I591">
        <v>118057</v>
      </c>
      <c r="J591">
        <v>1</v>
      </c>
      <c r="K591" t="s">
        <v>53</v>
      </c>
      <c r="L591" s="1">
        <v>44833</v>
      </c>
      <c r="M591" t="s">
        <v>104</v>
      </c>
      <c r="N591" t="s">
        <v>65</v>
      </c>
      <c r="O591">
        <v>16500</v>
      </c>
      <c r="P591">
        <v>1500</v>
      </c>
      <c r="Q591">
        <v>0.38</v>
      </c>
    </row>
    <row r="592" spans="1:17">
      <c r="A592" t="s">
        <v>67</v>
      </c>
      <c r="B592" t="s">
        <v>29</v>
      </c>
      <c r="C592" t="s">
        <v>30</v>
      </c>
      <c r="D592" t="s">
        <v>42</v>
      </c>
      <c r="E592">
        <v>0.14000000000000001</v>
      </c>
      <c r="F592">
        <v>6248.2</v>
      </c>
      <c r="G592">
        <v>1.0778459999307</v>
      </c>
      <c r="H592">
        <v>9494</v>
      </c>
      <c r="I592">
        <v>31896</v>
      </c>
      <c r="J592">
        <v>1</v>
      </c>
      <c r="K592" t="s">
        <v>46</v>
      </c>
      <c r="L592" s="1">
        <v>44743</v>
      </c>
      <c r="M592" t="s">
        <v>96</v>
      </c>
      <c r="N592" t="s">
        <v>23</v>
      </c>
      <c r="O592">
        <v>6873.02</v>
      </c>
      <c r="P592">
        <v>624.82000000000005</v>
      </c>
      <c r="Q592">
        <v>0.66</v>
      </c>
    </row>
    <row r="593" spans="1:17">
      <c r="A593" t="s">
        <v>17</v>
      </c>
      <c r="B593" t="s">
        <v>34</v>
      </c>
      <c r="C593" t="s">
        <v>30</v>
      </c>
      <c r="D593" t="s">
        <v>36</v>
      </c>
      <c r="E593">
        <v>0.01</v>
      </c>
      <c r="F593">
        <v>6415.32</v>
      </c>
      <c r="G593">
        <v>6.46</v>
      </c>
      <c r="H593">
        <v>16621</v>
      </c>
      <c r="I593">
        <v>50752</v>
      </c>
      <c r="J593">
        <v>9</v>
      </c>
      <c r="K593" t="s">
        <v>37</v>
      </c>
      <c r="L593" s="1">
        <v>44760</v>
      </c>
      <c r="M593" t="s">
        <v>89</v>
      </c>
      <c r="N593" t="s">
        <v>23</v>
      </c>
      <c r="O593">
        <v>7056.8519999999999</v>
      </c>
      <c r="P593">
        <v>641.53200000000004</v>
      </c>
      <c r="Q593">
        <v>0.39</v>
      </c>
    </row>
    <row r="594" spans="1:17">
      <c r="A594" t="s">
        <v>33</v>
      </c>
      <c r="B594" t="s">
        <v>34</v>
      </c>
      <c r="C594" t="s">
        <v>35</v>
      </c>
      <c r="D594" t="s">
        <v>50</v>
      </c>
      <c r="E594">
        <v>0.05</v>
      </c>
      <c r="F594">
        <v>12499.75</v>
      </c>
      <c r="G594">
        <v>7.11</v>
      </c>
      <c r="H594">
        <v>33083</v>
      </c>
      <c r="I594">
        <v>99512</v>
      </c>
      <c r="J594">
        <v>10</v>
      </c>
      <c r="K594" t="s">
        <v>51</v>
      </c>
      <c r="L594" s="1">
        <v>44687</v>
      </c>
      <c r="M594" t="s">
        <v>52</v>
      </c>
      <c r="N594" t="s">
        <v>44</v>
      </c>
      <c r="O594">
        <v>13749.725</v>
      </c>
      <c r="P594">
        <v>1249.9749999999999</v>
      </c>
      <c r="Q594">
        <v>0.38</v>
      </c>
    </row>
    <row r="595" spans="1:17">
      <c r="A595" t="s">
        <v>28</v>
      </c>
      <c r="B595" t="s">
        <v>29</v>
      </c>
      <c r="C595" t="s">
        <v>35</v>
      </c>
      <c r="D595" t="s">
        <v>50</v>
      </c>
      <c r="E595">
        <v>0.15</v>
      </c>
      <c r="F595">
        <v>12797.16</v>
      </c>
      <c r="G595">
        <v>2.16</v>
      </c>
      <c r="H595">
        <v>33865</v>
      </c>
      <c r="I595">
        <v>101830</v>
      </c>
      <c r="J595">
        <v>8</v>
      </c>
      <c r="K595" t="s">
        <v>46</v>
      </c>
      <c r="L595" s="1">
        <v>44909</v>
      </c>
      <c r="M595" t="s">
        <v>76</v>
      </c>
      <c r="N595" t="s">
        <v>63</v>
      </c>
      <c r="O595">
        <v>14076.876</v>
      </c>
      <c r="P595">
        <v>1279.7159999999999</v>
      </c>
      <c r="Q595">
        <v>0.38</v>
      </c>
    </row>
    <row r="596" spans="1:17">
      <c r="A596" t="s">
        <v>55</v>
      </c>
      <c r="B596" t="s">
        <v>34</v>
      </c>
      <c r="C596" t="s">
        <v>35</v>
      </c>
      <c r="D596" t="s">
        <v>50</v>
      </c>
      <c r="E596">
        <v>0.14000000000000001</v>
      </c>
      <c r="F596">
        <v>12070.89</v>
      </c>
      <c r="G596">
        <v>3.82</v>
      </c>
      <c r="H596">
        <v>31953</v>
      </c>
      <c r="I596">
        <v>96167</v>
      </c>
      <c r="J596">
        <v>5</v>
      </c>
      <c r="K596" t="s">
        <v>21</v>
      </c>
      <c r="L596" s="1">
        <v>44827</v>
      </c>
      <c r="M596" t="s">
        <v>77</v>
      </c>
      <c r="N596" t="s">
        <v>65</v>
      </c>
      <c r="O596">
        <v>13277.978999999999</v>
      </c>
      <c r="P596">
        <v>1207.0889999999999</v>
      </c>
      <c r="Q596">
        <v>0.38</v>
      </c>
    </row>
    <row r="597" spans="1:17">
      <c r="A597" t="s">
        <v>45</v>
      </c>
      <c r="B597" t="s">
        <v>25</v>
      </c>
      <c r="C597" t="s">
        <v>40</v>
      </c>
      <c r="D597" t="s">
        <v>42</v>
      </c>
      <c r="E597">
        <v>0.01</v>
      </c>
      <c r="F597">
        <v>10017.36</v>
      </c>
      <c r="G597">
        <v>0.88301148253029704</v>
      </c>
      <c r="H597">
        <v>15501</v>
      </c>
      <c r="I597">
        <v>51457</v>
      </c>
      <c r="J597">
        <v>1</v>
      </c>
      <c r="K597" t="s">
        <v>51</v>
      </c>
      <c r="L597" s="1">
        <v>44668</v>
      </c>
      <c r="M597" t="s">
        <v>85</v>
      </c>
      <c r="N597" t="s">
        <v>73</v>
      </c>
      <c r="O597">
        <v>11019.096</v>
      </c>
      <c r="P597">
        <v>1001.736</v>
      </c>
      <c r="Q597">
        <v>0.65</v>
      </c>
    </row>
    <row r="598" spans="1:17">
      <c r="A598" t="s">
        <v>39</v>
      </c>
      <c r="B598" t="s">
        <v>18</v>
      </c>
      <c r="C598" t="s">
        <v>35</v>
      </c>
      <c r="D598" t="s">
        <v>42</v>
      </c>
      <c r="E598">
        <v>0.1</v>
      </c>
      <c r="F598">
        <v>15000</v>
      </c>
      <c r="G598">
        <v>0.700689273586794</v>
      </c>
      <c r="H598">
        <v>22755</v>
      </c>
      <c r="I598">
        <v>75076</v>
      </c>
      <c r="J598">
        <v>1</v>
      </c>
      <c r="K598" t="s">
        <v>21</v>
      </c>
      <c r="L598" s="1">
        <v>44791</v>
      </c>
      <c r="M598" t="s">
        <v>48</v>
      </c>
      <c r="N598" t="s">
        <v>32</v>
      </c>
      <c r="O598">
        <v>16500</v>
      </c>
      <c r="P598">
        <v>1500</v>
      </c>
      <c r="Q598">
        <v>0.66</v>
      </c>
    </row>
    <row r="599" spans="1:17">
      <c r="A599" t="s">
        <v>49</v>
      </c>
      <c r="B599" t="s">
        <v>25</v>
      </c>
      <c r="C599" t="s">
        <v>40</v>
      </c>
      <c r="D599" t="s">
        <v>42</v>
      </c>
      <c r="E599">
        <v>0.14000000000000001</v>
      </c>
      <c r="F599">
        <v>9882.5300000000007</v>
      </c>
      <c r="G599">
        <v>1.1761569949492601</v>
      </c>
      <c r="H599">
        <v>15292</v>
      </c>
      <c r="I599">
        <v>50776</v>
      </c>
      <c r="J599">
        <v>1</v>
      </c>
      <c r="K599" t="s">
        <v>46</v>
      </c>
      <c r="L599" s="1">
        <v>44603</v>
      </c>
      <c r="M599" t="s">
        <v>47</v>
      </c>
      <c r="N599" t="s">
        <v>60</v>
      </c>
      <c r="O599">
        <v>10870.782999999999</v>
      </c>
      <c r="P599">
        <v>988.25300000000004</v>
      </c>
      <c r="Q599">
        <v>0.65</v>
      </c>
    </row>
    <row r="600" spans="1:17">
      <c r="A600" t="s">
        <v>17</v>
      </c>
      <c r="B600" t="s">
        <v>34</v>
      </c>
      <c r="C600" t="s">
        <v>19</v>
      </c>
      <c r="D600" t="s">
        <v>36</v>
      </c>
      <c r="E600">
        <v>0.04</v>
      </c>
      <c r="F600">
        <v>500</v>
      </c>
      <c r="G600">
        <v>4.99</v>
      </c>
      <c r="H600">
        <v>1536</v>
      </c>
      <c r="I600">
        <v>6071</v>
      </c>
      <c r="J600">
        <v>4</v>
      </c>
      <c r="K600" t="s">
        <v>37</v>
      </c>
      <c r="L600" s="1">
        <v>44839</v>
      </c>
      <c r="M600" t="s">
        <v>89</v>
      </c>
      <c r="N600" t="s">
        <v>57</v>
      </c>
      <c r="O600">
        <v>550</v>
      </c>
      <c r="P600">
        <v>50</v>
      </c>
      <c r="Q600">
        <v>0.33</v>
      </c>
    </row>
    <row r="601" spans="1:17">
      <c r="A601" t="s">
        <v>24</v>
      </c>
      <c r="B601" t="s">
        <v>25</v>
      </c>
      <c r="C601" t="s">
        <v>30</v>
      </c>
      <c r="D601" t="s">
        <v>36</v>
      </c>
      <c r="E601">
        <v>0.01</v>
      </c>
      <c r="F601">
        <v>5265.1</v>
      </c>
      <c r="G601">
        <v>6.55</v>
      </c>
      <c r="H601">
        <v>13496</v>
      </c>
      <c r="I601">
        <v>41496</v>
      </c>
      <c r="J601">
        <v>6</v>
      </c>
      <c r="K601" t="s">
        <v>53</v>
      </c>
      <c r="L601" s="1">
        <v>44903</v>
      </c>
      <c r="M601" t="s">
        <v>68</v>
      </c>
      <c r="N601" t="s">
        <v>63</v>
      </c>
      <c r="O601">
        <v>5791.61</v>
      </c>
      <c r="P601">
        <v>526.51</v>
      </c>
      <c r="Q601">
        <v>0.39</v>
      </c>
    </row>
    <row r="602" spans="1:17">
      <c r="A602" t="s">
        <v>17</v>
      </c>
      <c r="B602" t="s">
        <v>34</v>
      </c>
      <c r="C602" t="s">
        <v>30</v>
      </c>
      <c r="D602" t="s">
        <v>20</v>
      </c>
      <c r="E602">
        <v>0.01</v>
      </c>
      <c r="F602">
        <v>6255.15</v>
      </c>
      <c r="G602">
        <v>3.03</v>
      </c>
      <c r="H602">
        <v>16182</v>
      </c>
      <c r="I602">
        <v>49453</v>
      </c>
      <c r="J602">
        <v>7</v>
      </c>
      <c r="K602" t="s">
        <v>21</v>
      </c>
      <c r="L602" s="1">
        <v>44606</v>
      </c>
      <c r="M602" t="s">
        <v>103</v>
      </c>
      <c r="N602" t="s">
        <v>60</v>
      </c>
      <c r="O602">
        <v>6880.665</v>
      </c>
      <c r="P602">
        <v>625.51499999999999</v>
      </c>
      <c r="Q602">
        <v>0.39</v>
      </c>
    </row>
    <row r="603" spans="1:17">
      <c r="A603" t="s">
        <v>28</v>
      </c>
      <c r="B603" t="s">
        <v>25</v>
      </c>
      <c r="C603" t="s">
        <v>30</v>
      </c>
      <c r="D603" t="s">
        <v>50</v>
      </c>
      <c r="E603">
        <v>0.04</v>
      </c>
      <c r="F603">
        <v>7173.65</v>
      </c>
      <c r="G603">
        <v>0.44</v>
      </c>
      <c r="H603">
        <v>18671</v>
      </c>
      <c r="I603">
        <v>56823</v>
      </c>
      <c r="J603">
        <v>7</v>
      </c>
      <c r="K603" t="s">
        <v>37</v>
      </c>
      <c r="L603" s="1">
        <v>44839</v>
      </c>
      <c r="M603" t="s">
        <v>89</v>
      </c>
      <c r="N603" t="s">
        <v>57</v>
      </c>
      <c r="O603">
        <v>7891.0150000000003</v>
      </c>
      <c r="P603">
        <v>717.36500000000001</v>
      </c>
      <c r="Q603">
        <v>0.38</v>
      </c>
    </row>
    <row r="604" spans="1:17">
      <c r="A604" t="s">
        <v>17</v>
      </c>
      <c r="B604" t="s">
        <v>29</v>
      </c>
      <c r="C604" t="s">
        <v>19</v>
      </c>
      <c r="D604" t="s">
        <v>36</v>
      </c>
      <c r="E604">
        <v>0.05</v>
      </c>
      <c r="F604">
        <v>584.6</v>
      </c>
      <c r="G604">
        <v>2.81</v>
      </c>
      <c r="H604">
        <v>2205</v>
      </c>
      <c r="I604">
        <v>8050</v>
      </c>
      <c r="J604">
        <v>1</v>
      </c>
      <c r="K604" t="s">
        <v>21</v>
      </c>
      <c r="L604" s="1">
        <v>44823</v>
      </c>
      <c r="M604" t="s">
        <v>80</v>
      </c>
      <c r="N604" t="s">
        <v>65</v>
      </c>
      <c r="O604">
        <v>643.05999999999995</v>
      </c>
      <c r="P604">
        <v>58.46</v>
      </c>
      <c r="Q604">
        <v>0.27</v>
      </c>
    </row>
    <row r="605" spans="1:17">
      <c r="A605" t="s">
        <v>67</v>
      </c>
      <c r="B605" t="s">
        <v>29</v>
      </c>
      <c r="C605" t="s">
        <v>40</v>
      </c>
      <c r="D605" t="s">
        <v>36</v>
      </c>
      <c r="E605">
        <v>0.02</v>
      </c>
      <c r="F605">
        <v>9809.0499999999993</v>
      </c>
      <c r="G605">
        <v>6.41</v>
      </c>
      <c r="H605">
        <v>25845</v>
      </c>
      <c r="I605">
        <v>78074</v>
      </c>
      <c r="J605">
        <v>1</v>
      </c>
      <c r="K605" t="s">
        <v>46</v>
      </c>
      <c r="L605" s="1">
        <v>44904</v>
      </c>
      <c r="M605" t="s">
        <v>88</v>
      </c>
      <c r="N605" t="s">
        <v>63</v>
      </c>
      <c r="O605">
        <v>10789.955</v>
      </c>
      <c r="P605">
        <v>980.90499999999997</v>
      </c>
      <c r="Q605">
        <v>0.38</v>
      </c>
    </row>
    <row r="606" spans="1:17">
      <c r="A606" t="s">
        <v>45</v>
      </c>
      <c r="B606" t="s">
        <v>18</v>
      </c>
      <c r="C606" t="s">
        <v>40</v>
      </c>
      <c r="D606" t="s">
        <v>50</v>
      </c>
      <c r="E606">
        <v>0.13</v>
      </c>
      <c r="F606">
        <v>8400.7099999999991</v>
      </c>
      <c r="G606">
        <v>1.55</v>
      </c>
      <c r="H606">
        <v>22015</v>
      </c>
      <c r="I606">
        <v>66729</v>
      </c>
      <c r="J606">
        <v>3</v>
      </c>
      <c r="K606" t="s">
        <v>21</v>
      </c>
      <c r="L606" s="1">
        <v>44668</v>
      </c>
      <c r="M606" t="s">
        <v>71</v>
      </c>
      <c r="N606" t="s">
        <v>73</v>
      </c>
      <c r="O606">
        <v>9240.7809999999899</v>
      </c>
      <c r="P606">
        <v>840.070999999999</v>
      </c>
      <c r="Q606">
        <v>0.38</v>
      </c>
    </row>
    <row r="607" spans="1:17">
      <c r="A607" t="s">
        <v>49</v>
      </c>
      <c r="B607" t="s">
        <v>29</v>
      </c>
      <c r="C607" t="s">
        <v>35</v>
      </c>
      <c r="D607" t="s">
        <v>20</v>
      </c>
      <c r="E607">
        <v>0.04</v>
      </c>
      <c r="F607">
        <v>13232.72</v>
      </c>
      <c r="G607">
        <v>1.24</v>
      </c>
      <c r="H607">
        <v>34949</v>
      </c>
      <c r="I607">
        <v>105039</v>
      </c>
      <c r="J607">
        <v>10</v>
      </c>
      <c r="K607" t="s">
        <v>53</v>
      </c>
      <c r="L607" s="1">
        <v>44623</v>
      </c>
      <c r="M607" t="s">
        <v>66</v>
      </c>
      <c r="N607" t="s">
        <v>81</v>
      </c>
      <c r="O607">
        <v>14555.992</v>
      </c>
      <c r="P607">
        <v>1323.2719999999999</v>
      </c>
      <c r="Q607">
        <v>0.38</v>
      </c>
    </row>
    <row r="608" spans="1:17">
      <c r="A608" t="s">
        <v>33</v>
      </c>
      <c r="B608" t="s">
        <v>25</v>
      </c>
      <c r="C608" t="s">
        <v>19</v>
      </c>
      <c r="D608" t="s">
        <v>20</v>
      </c>
      <c r="E608">
        <v>0.09</v>
      </c>
      <c r="F608">
        <v>500</v>
      </c>
      <c r="G608">
        <v>5.12</v>
      </c>
      <c r="H608">
        <v>1404</v>
      </c>
      <c r="I608">
        <v>5678</v>
      </c>
      <c r="J608">
        <v>6</v>
      </c>
      <c r="K608" t="s">
        <v>37</v>
      </c>
      <c r="L608" s="1">
        <v>44655</v>
      </c>
      <c r="M608" t="s">
        <v>100</v>
      </c>
      <c r="N608" t="s">
        <v>73</v>
      </c>
      <c r="O608">
        <v>550</v>
      </c>
      <c r="P608">
        <v>50</v>
      </c>
      <c r="Q608">
        <v>0.36</v>
      </c>
    </row>
    <row r="609" spans="1:17">
      <c r="A609" t="s">
        <v>67</v>
      </c>
      <c r="B609" t="s">
        <v>25</v>
      </c>
      <c r="C609" t="s">
        <v>40</v>
      </c>
      <c r="D609" t="s">
        <v>36</v>
      </c>
      <c r="E609">
        <v>0.01</v>
      </c>
      <c r="F609">
        <v>8504.86</v>
      </c>
      <c r="G609">
        <v>3.7</v>
      </c>
      <c r="H609">
        <v>22301</v>
      </c>
      <c r="I609">
        <v>67576</v>
      </c>
      <c r="J609">
        <v>3</v>
      </c>
      <c r="K609" t="s">
        <v>53</v>
      </c>
      <c r="L609" s="1">
        <v>44876</v>
      </c>
      <c r="M609" t="s">
        <v>102</v>
      </c>
      <c r="N609" t="s">
        <v>41</v>
      </c>
      <c r="O609">
        <v>9355.3459999999995</v>
      </c>
      <c r="P609">
        <v>850.48599999999999</v>
      </c>
      <c r="Q609">
        <v>0.38</v>
      </c>
    </row>
    <row r="610" spans="1:17">
      <c r="A610" t="s">
        <v>39</v>
      </c>
      <c r="B610" t="s">
        <v>29</v>
      </c>
      <c r="C610" t="s">
        <v>30</v>
      </c>
      <c r="D610" t="s">
        <v>42</v>
      </c>
      <c r="E610">
        <v>0.15</v>
      </c>
      <c r="F610">
        <v>7113.98</v>
      </c>
      <c r="G610">
        <v>5.3624179101030003E-3</v>
      </c>
      <c r="H610">
        <v>10869</v>
      </c>
      <c r="I610">
        <v>36374</v>
      </c>
      <c r="J610">
        <v>1</v>
      </c>
      <c r="K610" t="s">
        <v>46</v>
      </c>
      <c r="L610" s="1">
        <v>44603</v>
      </c>
      <c r="M610" t="s">
        <v>87</v>
      </c>
      <c r="N610" t="s">
        <v>60</v>
      </c>
      <c r="O610">
        <v>7825.3779999999997</v>
      </c>
      <c r="P610">
        <v>711.39800000000002</v>
      </c>
      <c r="Q610">
        <v>0.65</v>
      </c>
    </row>
    <row r="611" spans="1:17">
      <c r="A611" t="s">
        <v>39</v>
      </c>
      <c r="B611" t="s">
        <v>25</v>
      </c>
      <c r="C611" t="s">
        <v>35</v>
      </c>
      <c r="D611" t="s">
        <v>42</v>
      </c>
      <c r="E611">
        <v>0.05</v>
      </c>
      <c r="F611">
        <v>11420.35</v>
      </c>
      <c r="G611">
        <v>1.2422934825071901</v>
      </c>
      <c r="H611">
        <v>17749</v>
      </c>
      <c r="I611">
        <v>58776</v>
      </c>
      <c r="J611">
        <v>1</v>
      </c>
      <c r="K611" t="s">
        <v>46</v>
      </c>
      <c r="L611" s="1">
        <v>44689</v>
      </c>
      <c r="M611" t="s">
        <v>88</v>
      </c>
      <c r="N611" t="s">
        <v>44</v>
      </c>
      <c r="O611">
        <v>12562.385</v>
      </c>
      <c r="P611">
        <v>1142.0350000000001</v>
      </c>
      <c r="Q611">
        <v>0.64</v>
      </c>
    </row>
    <row r="612" spans="1:17">
      <c r="A612" t="s">
        <v>17</v>
      </c>
      <c r="B612" t="s">
        <v>34</v>
      </c>
      <c r="C612" t="s">
        <v>19</v>
      </c>
      <c r="D612" t="s">
        <v>42</v>
      </c>
      <c r="E612">
        <v>0.01</v>
      </c>
      <c r="F612">
        <v>500</v>
      </c>
      <c r="G612">
        <v>0.58271607956452798</v>
      </c>
      <c r="H612">
        <v>526</v>
      </c>
      <c r="I612">
        <v>2697</v>
      </c>
      <c r="J612">
        <v>1</v>
      </c>
      <c r="K612" t="s">
        <v>51</v>
      </c>
      <c r="L612" s="1">
        <v>44831</v>
      </c>
      <c r="M612" t="s">
        <v>79</v>
      </c>
      <c r="N612" t="s">
        <v>65</v>
      </c>
      <c r="O612">
        <v>550</v>
      </c>
      <c r="P612">
        <v>50</v>
      </c>
      <c r="Q612">
        <v>0.95</v>
      </c>
    </row>
    <row r="613" spans="1:17">
      <c r="A613" t="s">
        <v>33</v>
      </c>
      <c r="B613" t="s">
        <v>34</v>
      </c>
      <c r="C613" t="s">
        <v>40</v>
      </c>
      <c r="D613" t="s">
        <v>36</v>
      </c>
      <c r="E613">
        <v>0.02</v>
      </c>
      <c r="F613">
        <v>9987.73</v>
      </c>
      <c r="G613">
        <v>6.38</v>
      </c>
      <c r="H613">
        <v>26316</v>
      </c>
      <c r="I613">
        <v>79469</v>
      </c>
      <c r="J613">
        <v>10</v>
      </c>
      <c r="K613" t="s">
        <v>37</v>
      </c>
      <c r="L613" s="1">
        <v>44918</v>
      </c>
      <c r="M613" t="s">
        <v>94</v>
      </c>
      <c r="N613" t="s">
        <v>63</v>
      </c>
      <c r="O613">
        <v>10986.503000000001</v>
      </c>
      <c r="P613">
        <v>998.77300000000105</v>
      </c>
      <c r="Q613">
        <v>0.38</v>
      </c>
    </row>
    <row r="614" spans="1:17">
      <c r="A614" t="s">
        <v>33</v>
      </c>
      <c r="B614" t="s">
        <v>25</v>
      </c>
      <c r="C614" t="s">
        <v>35</v>
      </c>
      <c r="D614" t="s">
        <v>50</v>
      </c>
      <c r="E614">
        <v>0.13</v>
      </c>
      <c r="F614">
        <v>11855.8</v>
      </c>
      <c r="G614">
        <v>7.8</v>
      </c>
      <c r="H614">
        <v>31387</v>
      </c>
      <c r="I614">
        <v>94489</v>
      </c>
      <c r="J614">
        <v>7</v>
      </c>
      <c r="K614" t="s">
        <v>51</v>
      </c>
      <c r="L614" s="1">
        <v>44622</v>
      </c>
      <c r="M614" t="s">
        <v>97</v>
      </c>
      <c r="N614" t="s">
        <v>81</v>
      </c>
      <c r="O614">
        <v>13041.38</v>
      </c>
      <c r="P614">
        <v>1185.58</v>
      </c>
      <c r="Q614">
        <v>0.38</v>
      </c>
    </row>
    <row r="615" spans="1:17">
      <c r="A615" t="s">
        <v>55</v>
      </c>
      <c r="B615" t="s">
        <v>34</v>
      </c>
      <c r="C615" t="s">
        <v>19</v>
      </c>
      <c r="D615" t="s">
        <v>50</v>
      </c>
      <c r="E615">
        <v>7.0000000000000007E-2</v>
      </c>
      <c r="F615">
        <v>3701.73</v>
      </c>
      <c r="G615">
        <v>1.25</v>
      </c>
      <c r="H615">
        <v>9230</v>
      </c>
      <c r="I615">
        <v>28860</v>
      </c>
      <c r="J615">
        <v>2</v>
      </c>
      <c r="K615" t="s">
        <v>46</v>
      </c>
      <c r="L615" s="1">
        <v>44623</v>
      </c>
      <c r="M615" t="s">
        <v>86</v>
      </c>
      <c r="N615" t="s">
        <v>81</v>
      </c>
      <c r="O615">
        <v>4071.9029999999998</v>
      </c>
      <c r="P615">
        <v>370.173</v>
      </c>
      <c r="Q615">
        <v>0.4</v>
      </c>
    </row>
    <row r="616" spans="1:17">
      <c r="A616" t="s">
        <v>67</v>
      </c>
      <c r="B616" t="s">
        <v>29</v>
      </c>
      <c r="C616" t="s">
        <v>19</v>
      </c>
      <c r="D616" t="s">
        <v>36</v>
      </c>
      <c r="E616">
        <v>0.06</v>
      </c>
      <c r="F616">
        <v>3290.85</v>
      </c>
      <c r="G616">
        <v>7.27</v>
      </c>
      <c r="H616">
        <v>8133</v>
      </c>
      <c r="I616">
        <v>25609</v>
      </c>
      <c r="J616">
        <v>5</v>
      </c>
      <c r="K616" t="s">
        <v>46</v>
      </c>
      <c r="L616" s="1">
        <v>44896</v>
      </c>
      <c r="M616" t="s">
        <v>88</v>
      </c>
      <c r="N616" t="s">
        <v>63</v>
      </c>
      <c r="O616">
        <v>3619.9349999999999</v>
      </c>
      <c r="P616">
        <v>329.08499999999998</v>
      </c>
      <c r="Q616">
        <v>0.4</v>
      </c>
    </row>
    <row r="617" spans="1:17">
      <c r="A617" t="s">
        <v>45</v>
      </c>
      <c r="B617" t="s">
        <v>29</v>
      </c>
      <c r="C617" t="s">
        <v>30</v>
      </c>
      <c r="D617" t="s">
        <v>42</v>
      </c>
      <c r="E617">
        <v>0.13</v>
      </c>
      <c r="F617">
        <v>7277.33</v>
      </c>
      <c r="G617">
        <v>0.74180114423091703</v>
      </c>
      <c r="H617">
        <v>11127</v>
      </c>
      <c r="I617">
        <v>37213</v>
      </c>
      <c r="J617">
        <v>1</v>
      </c>
      <c r="K617" t="s">
        <v>51</v>
      </c>
      <c r="L617" s="1">
        <v>44576</v>
      </c>
      <c r="M617" t="s">
        <v>52</v>
      </c>
      <c r="N617" t="s">
        <v>27</v>
      </c>
      <c r="O617">
        <v>8005.0630000000001</v>
      </c>
      <c r="P617">
        <v>727.73300000000097</v>
      </c>
      <c r="Q617">
        <v>0.65</v>
      </c>
    </row>
    <row r="618" spans="1:17">
      <c r="A618" t="s">
        <v>39</v>
      </c>
      <c r="B618" t="s">
        <v>34</v>
      </c>
      <c r="C618" t="s">
        <v>19</v>
      </c>
      <c r="D618" t="s">
        <v>50</v>
      </c>
      <c r="E618">
        <v>0.04</v>
      </c>
      <c r="F618">
        <v>1939.2</v>
      </c>
      <c r="G618">
        <v>7.97</v>
      </c>
      <c r="H618">
        <v>4757</v>
      </c>
      <c r="I618">
        <v>15611</v>
      </c>
      <c r="J618">
        <v>6</v>
      </c>
      <c r="K618" t="s">
        <v>53</v>
      </c>
      <c r="L618" s="1">
        <v>44624</v>
      </c>
      <c r="M618" t="s">
        <v>102</v>
      </c>
      <c r="N618" t="s">
        <v>81</v>
      </c>
      <c r="O618">
        <v>2133.12</v>
      </c>
      <c r="P618">
        <v>193.92</v>
      </c>
      <c r="Q618">
        <v>0.41</v>
      </c>
    </row>
    <row r="619" spans="1:17">
      <c r="A619" t="s">
        <v>67</v>
      </c>
      <c r="B619" t="s">
        <v>25</v>
      </c>
      <c r="C619" t="s">
        <v>19</v>
      </c>
      <c r="D619" t="s">
        <v>50</v>
      </c>
      <c r="E619">
        <v>0.1</v>
      </c>
      <c r="F619">
        <v>3430.98</v>
      </c>
      <c r="G619">
        <v>0.78</v>
      </c>
      <c r="H619">
        <v>8503</v>
      </c>
      <c r="I619">
        <v>26705</v>
      </c>
      <c r="J619">
        <v>4</v>
      </c>
      <c r="K619" t="s">
        <v>21</v>
      </c>
      <c r="L619" s="1">
        <v>44795</v>
      </c>
      <c r="M619" t="s">
        <v>26</v>
      </c>
      <c r="N619" t="s">
        <v>32</v>
      </c>
      <c r="O619">
        <v>3774.078</v>
      </c>
      <c r="P619">
        <v>343.09800000000001</v>
      </c>
      <c r="Q619">
        <v>0.4</v>
      </c>
    </row>
    <row r="620" spans="1:17">
      <c r="A620" t="s">
        <v>33</v>
      </c>
      <c r="B620" t="s">
        <v>18</v>
      </c>
      <c r="C620" t="s">
        <v>35</v>
      </c>
      <c r="D620" t="s">
        <v>20</v>
      </c>
      <c r="E620">
        <v>0.08</v>
      </c>
      <c r="F620">
        <v>11671.1</v>
      </c>
      <c r="G620">
        <v>2.8</v>
      </c>
      <c r="H620">
        <v>30903</v>
      </c>
      <c r="I620">
        <v>93055</v>
      </c>
      <c r="J620">
        <v>4</v>
      </c>
      <c r="K620" t="s">
        <v>51</v>
      </c>
      <c r="L620" s="1">
        <v>44575</v>
      </c>
      <c r="M620" t="s">
        <v>72</v>
      </c>
      <c r="N620" t="s">
        <v>27</v>
      </c>
      <c r="O620">
        <v>12838.21</v>
      </c>
      <c r="P620">
        <v>1167.1099999999999</v>
      </c>
      <c r="Q620">
        <v>0.38</v>
      </c>
    </row>
    <row r="621" spans="1:17">
      <c r="A621" t="s">
        <v>33</v>
      </c>
      <c r="B621" t="s">
        <v>34</v>
      </c>
      <c r="C621" t="s">
        <v>19</v>
      </c>
      <c r="D621" t="s">
        <v>42</v>
      </c>
      <c r="E621">
        <v>0.12</v>
      </c>
      <c r="F621">
        <v>1607.54</v>
      </c>
      <c r="G621">
        <v>0.74180114423091703</v>
      </c>
      <c r="H621">
        <v>2364</v>
      </c>
      <c r="I621">
        <v>8681</v>
      </c>
      <c r="J621">
        <v>1</v>
      </c>
      <c r="K621" t="s">
        <v>53</v>
      </c>
      <c r="L621" s="1">
        <v>44618</v>
      </c>
      <c r="M621" t="s">
        <v>68</v>
      </c>
      <c r="N621" t="s">
        <v>60</v>
      </c>
      <c r="O621">
        <v>1768.2940000000001</v>
      </c>
      <c r="P621">
        <v>160.75399999999999</v>
      </c>
      <c r="Q621">
        <v>0.68</v>
      </c>
    </row>
    <row r="622" spans="1:17">
      <c r="A622" t="s">
        <v>28</v>
      </c>
      <c r="B622" t="s">
        <v>34</v>
      </c>
      <c r="C622" t="s">
        <v>30</v>
      </c>
      <c r="D622" t="s">
        <v>42</v>
      </c>
      <c r="E622">
        <v>0.05</v>
      </c>
      <c r="F622">
        <v>7176.48</v>
      </c>
      <c r="G622">
        <v>1.3298796417055401</v>
      </c>
      <c r="H622">
        <v>10970</v>
      </c>
      <c r="I622">
        <v>36702</v>
      </c>
      <c r="J622">
        <v>1</v>
      </c>
      <c r="K622" t="s">
        <v>46</v>
      </c>
      <c r="L622" s="1">
        <v>44814</v>
      </c>
      <c r="M622" t="s">
        <v>86</v>
      </c>
      <c r="N622" t="s">
        <v>65</v>
      </c>
      <c r="O622">
        <v>7894.1279999999997</v>
      </c>
      <c r="P622">
        <v>717.64800000000105</v>
      </c>
      <c r="Q622">
        <v>0.65</v>
      </c>
    </row>
    <row r="623" spans="1:17">
      <c r="A623" t="s">
        <v>28</v>
      </c>
      <c r="B623" t="s">
        <v>25</v>
      </c>
      <c r="C623" t="s">
        <v>40</v>
      </c>
      <c r="D623" t="s">
        <v>50</v>
      </c>
      <c r="E623">
        <v>0.13</v>
      </c>
      <c r="F623">
        <v>9250.01</v>
      </c>
      <c r="G623">
        <v>4.17</v>
      </c>
      <c r="H623">
        <v>24300</v>
      </c>
      <c r="I623">
        <v>73498</v>
      </c>
      <c r="J623">
        <v>2</v>
      </c>
      <c r="K623" t="s">
        <v>21</v>
      </c>
      <c r="L623" s="1">
        <v>44773</v>
      </c>
      <c r="M623" t="s">
        <v>43</v>
      </c>
      <c r="N623" t="s">
        <v>23</v>
      </c>
      <c r="O623">
        <v>10175.011</v>
      </c>
      <c r="P623">
        <v>925.00099999999998</v>
      </c>
      <c r="Q623">
        <v>0.38</v>
      </c>
    </row>
    <row r="624" spans="1:17">
      <c r="A624" t="s">
        <v>49</v>
      </c>
      <c r="B624" t="s">
        <v>25</v>
      </c>
      <c r="C624" t="s">
        <v>40</v>
      </c>
      <c r="D624" t="s">
        <v>42</v>
      </c>
      <c r="E624">
        <v>0.02</v>
      </c>
      <c r="F624">
        <v>11108.94</v>
      </c>
      <c r="G624">
        <v>1.0706961093839</v>
      </c>
      <c r="H624">
        <v>17254</v>
      </c>
      <c r="I624">
        <v>57163</v>
      </c>
      <c r="J624">
        <v>1</v>
      </c>
      <c r="K624" t="s">
        <v>46</v>
      </c>
      <c r="L624" s="1">
        <v>44633</v>
      </c>
      <c r="M624" t="s">
        <v>88</v>
      </c>
      <c r="N624" t="s">
        <v>81</v>
      </c>
      <c r="O624">
        <v>12219.834000000001</v>
      </c>
      <c r="P624">
        <v>1110.894</v>
      </c>
      <c r="Q624">
        <v>0.64</v>
      </c>
    </row>
    <row r="625" spans="1:17">
      <c r="A625" t="s">
        <v>28</v>
      </c>
      <c r="B625" t="s">
        <v>25</v>
      </c>
      <c r="C625" t="s">
        <v>35</v>
      </c>
      <c r="D625" t="s">
        <v>36</v>
      </c>
      <c r="E625">
        <v>0.12</v>
      </c>
      <c r="F625">
        <v>11718.89</v>
      </c>
      <c r="G625">
        <v>5.33</v>
      </c>
      <c r="H625">
        <v>31029</v>
      </c>
      <c r="I625">
        <v>93428</v>
      </c>
      <c r="J625">
        <v>3</v>
      </c>
      <c r="K625" t="s">
        <v>21</v>
      </c>
      <c r="L625" s="1">
        <v>44629</v>
      </c>
      <c r="M625" t="s">
        <v>43</v>
      </c>
      <c r="N625" t="s">
        <v>81</v>
      </c>
      <c r="O625">
        <v>12890.779</v>
      </c>
      <c r="P625">
        <v>1171.8889999999999</v>
      </c>
      <c r="Q625">
        <v>0.38</v>
      </c>
    </row>
    <row r="626" spans="1:17">
      <c r="A626" t="s">
        <v>39</v>
      </c>
      <c r="B626" t="s">
        <v>25</v>
      </c>
      <c r="C626" t="s">
        <v>19</v>
      </c>
      <c r="D626" t="s">
        <v>36</v>
      </c>
      <c r="E626">
        <v>0.02</v>
      </c>
      <c r="F626">
        <v>3775.33</v>
      </c>
      <c r="G626">
        <v>7.18</v>
      </c>
      <c r="H626">
        <v>9430</v>
      </c>
      <c r="I626">
        <v>29453</v>
      </c>
      <c r="J626">
        <v>10</v>
      </c>
      <c r="K626" t="s">
        <v>53</v>
      </c>
      <c r="L626" s="1">
        <v>44685</v>
      </c>
      <c r="M626" t="s">
        <v>83</v>
      </c>
      <c r="N626" t="s">
        <v>44</v>
      </c>
      <c r="O626">
        <v>4152.8630000000003</v>
      </c>
      <c r="P626">
        <v>377.53300000000002</v>
      </c>
      <c r="Q626">
        <v>0.4</v>
      </c>
    </row>
    <row r="627" spans="1:17">
      <c r="A627" t="s">
        <v>17</v>
      </c>
      <c r="B627" t="s">
        <v>29</v>
      </c>
      <c r="C627" t="s">
        <v>40</v>
      </c>
      <c r="D627" t="s">
        <v>42</v>
      </c>
      <c r="E627">
        <v>0.14000000000000001</v>
      </c>
      <c r="F627">
        <v>10380.959999999999</v>
      </c>
      <c r="G627">
        <v>0.57377871638102296</v>
      </c>
      <c r="H627">
        <v>16085</v>
      </c>
      <c r="I627">
        <v>53356</v>
      </c>
      <c r="J627">
        <v>1</v>
      </c>
      <c r="K627" t="s">
        <v>37</v>
      </c>
      <c r="L627" s="1">
        <v>44834</v>
      </c>
      <c r="M627" t="s">
        <v>38</v>
      </c>
      <c r="N627" t="s">
        <v>65</v>
      </c>
      <c r="O627">
        <v>11419.056</v>
      </c>
      <c r="P627">
        <v>1038.096</v>
      </c>
      <c r="Q627">
        <v>0.65</v>
      </c>
    </row>
    <row r="628" spans="1:17">
      <c r="A628" t="s">
        <v>39</v>
      </c>
      <c r="B628" t="s">
        <v>25</v>
      </c>
      <c r="C628" t="s">
        <v>19</v>
      </c>
      <c r="D628" t="s">
        <v>20</v>
      </c>
      <c r="E628">
        <v>0.09</v>
      </c>
      <c r="F628">
        <v>2217.17</v>
      </c>
      <c r="G628">
        <v>1.44</v>
      </c>
      <c r="H628">
        <v>5423</v>
      </c>
      <c r="I628">
        <v>17582</v>
      </c>
      <c r="J628">
        <v>8</v>
      </c>
      <c r="K628" t="s">
        <v>21</v>
      </c>
      <c r="L628" s="1">
        <v>44734</v>
      </c>
      <c r="M628" t="s">
        <v>22</v>
      </c>
      <c r="N628" t="s">
        <v>69</v>
      </c>
      <c r="O628">
        <v>2438.8870000000002</v>
      </c>
      <c r="P628">
        <v>221.71700000000001</v>
      </c>
      <c r="Q628">
        <v>0.41</v>
      </c>
    </row>
    <row r="629" spans="1:17">
      <c r="A629" t="s">
        <v>33</v>
      </c>
      <c r="B629" t="s">
        <v>29</v>
      </c>
      <c r="C629" t="s">
        <v>19</v>
      </c>
      <c r="D629" t="s">
        <v>50</v>
      </c>
      <c r="E629">
        <v>0.09</v>
      </c>
      <c r="F629">
        <v>2205.65</v>
      </c>
      <c r="G629">
        <v>7.02</v>
      </c>
      <c r="H629">
        <v>5396</v>
      </c>
      <c r="I629">
        <v>17502</v>
      </c>
      <c r="J629">
        <v>6</v>
      </c>
      <c r="K629" t="s">
        <v>53</v>
      </c>
      <c r="L629" s="1">
        <v>44920</v>
      </c>
      <c r="M629" t="s">
        <v>68</v>
      </c>
      <c r="N629" t="s">
        <v>63</v>
      </c>
      <c r="O629">
        <v>2426.2150000000001</v>
      </c>
      <c r="P629">
        <v>220.565</v>
      </c>
      <c r="Q629">
        <v>0.41</v>
      </c>
    </row>
    <row r="630" spans="1:17">
      <c r="A630" t="s">
        <v>33</v>
      </c>
      <c r="B630" t="s">
        <v>25</v>
      </c>
      <c r="C630" t="s">
        <v>30</v>
      </c>
      <c r="D630" t="s">
        <v>42</v>
      </c>
      <c r="E630">
        <v>0.15</v>
      </c>
      <c r="F630">
        <v>4571.1400000000003</v>
      </c>
      <c r="G630">
        <v>0.98847236809565597</v>
      </c>
      <c r="H630">
        <v>6815</v>
      </c>
      <c r="I630">
        <v>23172</v>
      </c>
      <c r="J630">
        <v>1</v>
      </c>
      <c r="K630" t="s">
        <v>21</v>
      </c>
      <c r="L630" s="1">
        <v>44808</v>
      </c>
      <c r="M630" t="s">
        <v>80</v>
      </c>
      <c r="N630" t="s">
        <v>65</v>
      </c>
      <c r="O630">
        <v>5028.2539999999999</v>
      </c>
      <c r="P630">
        <v>457.11399999999998</v>
      </c>
      <c r="Q630">
        <v>0.67</v>
      </c>
    </row>
    <row r="631" spans="1:17">
      <c r="A631" t="s">
        <v>17</v>
      </c>
      <c r="B631" t="s">
        <v>29</v>
      </c>
      <c r="C631" t="s">
        <v>19</v>
      </c>
      <c r="D631" t="s">
        <v>50</v>
      </c>
      <c r="E631">
        <v>0.11</v>
      </c>
      <c r="F631">
        <v>3942.61</v>
      </c>
      <c r="G631">
        <v>0.38</v>
      </c>
      <c r="H631">
        <v>9885</v>
      </c>
      <c r="I631">
        <v>30800</v>
      </c>
      <c r="J631">
        <v>4</v>
      </c>
      <c r="K631" t="s">
        <v>51</v>
      </c>
      <c r="L631" s="1">
        <v>44688</v>
      </c>
      <c r="M631" t="s">
        <v>97</v>
      </c>
      <c r="N631" t="s">
        <v>44</v>
      </c>
      <c r="O631">
        <v>4336.8710000000001</v>
      </c>
      <c r="P631">
        <v>394.260999999999</v>
      </c>
      <c r="Q631">
        <v>0.4</v>
      </c>
    </row>
    <row r="632" spans="1:17">
      <c r="A632" t="s">
        <v>28</v>
      </c>
      <c r="B632" t="s">
        <v>25</v>
      </c>
      <c r="C632" t="s">
        <v>30</v>
      </c>
      <c r="D632" t="s">
        <v>20</v>
      </c>
      <c r="E632">
        <v>0.02</v>
      </c>
      <c r="F632">
        <v>7683.85</v>
      </c>
      <c r="G632">
        <v>6.44</v>
      </c>
      <c r="H632">
        <v>20043</v>
      </c>
      <c r="I632">
        <v>60887</v>
      </c>
      <c r="J632">
        <v>5</v>
      </c>
      <c r="K632" t="s">
        <v>21</v>
      </c>
      <c r="L632" s="1">
        <v>44756</v>
      </c>
      <c r="M632" t="s">
        <v>103</v>
      </c>
      <c r="N632" t="s">
        <v>23</v>
      </c>
      <c r="O632">
        <v>8452.2350000000006</v>
      </c>
      <c r="P632">
        <v>768.38499999999999</v>
      </c>
      <c r="Q632">
        <v>0.38</v>
      </c>
    </row>
    <row r="633" spans="1:17">
      <c r="A633" t="s">
        <v>39</v>
      </c>
      <c r="B633" t="s">
        <v>18</v>
      </c>
      <c r="C633" t="s">
        <v>19</v>
      </c>
      <c r="D633" t="s">
        <v>20</v>
      </c>
      <c r="E633">
        <v>0.11</v>
      </c>
      <c r="F633">
        <v>500</v>
      </c>
      <c r="G633">
        <v>6.68</v>
      </c>
      <c r="H633">
        <v>1502</v>
      </c>
      <c r="I633">
        <v>5969</v>
      </c>
      <c r="J633">
        <v>9</v>
      </c>
      <c r="K633" t="s">
        <v>53</v>
      </c>
      <c r="L633" s="1">
        <v>44805</v>
      </c>
      <c r="M633" t="s">
        <v>83</v>
      </c>
      <c r="N633" t="s">
        <v>65</v>
      </c>
      <c r="O633">
        <v>550</v>
      </c>
      <c r="P633">
        <v>50</v>
      </c>
      <c r="Q633">
        <v>0.33</v>
      </c>
    </row>
    <row r="634" spans="1:17">
      <c r="A634" t="s">
        <v>33</v>
      </c>
      <c r="B634" t="s">
        <v>29</v>
      </c>
      <c r="C634" t="s">
        <v>30</v>
      </c>
      <c r="D634" t="s">
        <v>20</v>
      </c>
      <c r="E634">
        <v>0.11</v>
      </c>
      <c r="F634">
        <v>7285.35</v>
      </c>
      <c r="G634">
        <v>2.72</v>
      </c>
      <c r="H634">
        <v>18967</v>
      </c>
      <c r="I634">
        <v>57700</v>
      </c>
      <c r="J634">
        <v>2</v>
      </c>
      <c r="K634" t="s">
        <v>53</v>
      </c>
      <c r="L634" s="1">
        <v>44812</v>
      </c>
      <c r="M634" t="s">
        <v>58</v>
      </c>
      <c r="N634" t="s">
        <v>65</v>
      </c>
      <c r="O634">
        <v>8013.8850000000002</v>
      </c>
      <c r="P634">
        <v>728.53499999999997</v>
      </c>
      <c r="Q634">
        <v>0.38</v>
      </c>
    </row>
    <row r="635" spans="1:17">
      <c r="A635" t="s">
        <v>39</v>
      </c>
      <c r="B635" t="s">
        <v>34</v>
      </c>
      <c r="C635" t="s">
        <v>19</v>
      </c>
      <c r="D635" t="s">
        <v>42</v>
      </c>
      <c r="E635">
        <v>0.03</v>
      </c>
      <c r="F635">
        <v>2423.17</v>
      </c>
      <c r="G635">
        <v>0.22343407958762501</v>
      </c>
      <c r="H635">
        <v>3477</v>
      </c>
      <c r="I635">
        <v>12304</v>
      </c>
      <c r="J635">
        <v>1</v>
      </c>
      <c r="K635" t="s">
        <v>46</v>
      </c>
      <c r="L635" s="1">
        <v>44711</v>
      </c>
      <c r="M635" t="s">
        <v>86</v>
      </c>
      <c r="N635" t="s">
        <v>44</v>
      </c>
      <c r="O635">
        <v>2665.4870000000001</v>
      </c>
      <c r="P635">
        <v>242.31700000000001</v>
      </c>
      <c r="Q635">
        <v>0.7</v>
      </c>
    </row>
    <row r="636" spans="1:17">
      <c r="A636" t="s">
        <v>39</v>
      </c>
      <c r="B636" t="s">
        <v>29</v>
      </c>
      <c r="C636" t="s">
        <v>40</v>
      </c>
      <c r="D636" t="s">
        <v>50</v>
      </c>
      <c r="E636">
        <v>0.08</v>
      </c>
      <c r="F636">
        <v>10402.86</v>
      </c>
      <c r="G636">
        <v>3.26</v>
      </c>
      <c r="H636">
        <v>27446</v>
      </c>
      <c r="I636">
        <v>82816</v>
      </c>
      <c r="J636">
        <v>1</v>
      </c>
      <c r="K636" t="s">
        <v>46</v>
      </c>
      <c r="L636" s="1">
        <v>44809</v>
      </c>
      <c r="M636" t="s">
        <v>86</v>
      </c>
      <c r="N636" t="s">
        <v>65</v>
      </c>
      <c r="O636">
        <v>11443.146000000001</v>
      </c>
      <c r="P636">
        <v>1040.2860000000001</v>
      </c>
      <c r="Q636">
        <v>0.38</v>
      </c>
    </row>
    <row r="637" spans="1:17">
      <c r="A637" t="s">
        <v>33</v>
      </c>
      <c r="B637" t="s">
        <v>25</v>
      </c>
      <c r="C637" t="s">
        <v>19</v>
      </c>
      <c r="D637" t="s">
        <v>36</v>
      </c>
      <c r="E637">
        <v>0.12</v>
      </c>
      <c r="F637">
        <v>500</v>
      </c>
      <c r="G637">
        <v>0.63</v>
      </c>
      <c r="H637">
        <v>533</v>
      </c>
      <c r="I637">
        <v>3099</v>
      </c>
      <c r="J637">
        <v>6</v>
      </c>
      <c r="K637" t="s">
        <v>46</v>
      </c>
      <c r="L637" s="1">
        <v>44724</v>
      </c>
      <c r="M637" t="s">
        <v>95</v>
      </c>
      <c r="N637" t="s">
        <v>69</v>
      </c>
      <c r="O637">
        <v>550</v>
      </c>
      <c r="P637">
        <v>50</v>
      </c>
      <c r="Q637">
        <v>0.94</v>
      </c>
    </row>
    <row r="638" spans="1:17">
      <c r="A638" t="s">
        <v>17</v>
      </c>
      <c r="B638" t="s">
        <v>29</v>
      </c>
      <c r="C638" t="s">
        <v>35</v>
      </c>
      <c r="D638" t="s">
        <v>36</v>
      </c>
      <c r="E638">
        <v>0.05</v>
      </c>
      <c r="F638">
        <v>15000</v>
      </c>
      <c r="G638">
        <v>0.17</v>
      </c>
      <c r="H638">
        <v>38912</v>
      </c>
      <c r="I638">
        <v>116778</v>
      </c>
      <c r="J638">
        <v>7</v>
      </c>
      <c r="K638" t="s">
        <v>37</v>
      </c>
      <c r="L638" s="1">
        <v>44714</v>
      </c>
      <c r="M638" t="s">
        <v>89</v>
      </c>
      <c r="N638" t="s">
        <v>69</v>
      </c>
      <c r="O638">
        <v>16500</v>
      </c>
      <c r="P638">
        <v>1500</v>
      </c>
      <c r="Q638">
        <v>0.39</v>
      </c>
    </row>
    <row r="639" spans="1:17">
      <c r="A639" t="s">
        <v>55</v>
      </c>
      <c r="B639" t="s">
        <v>25</v>
      </c>
      <c r="C639" t="s">
        <v>30</v>
      </c>
      <c r="D639" t="s">
        <v>36</v>
      </c>
      <c r="E639">
        <v>0.14000000000000001</v>
      </c>
      <c r="F639">
        <v>4271.4399999999996</v>
      </c>
      <c r="G639">
        <v>6.01</v>
      </c>
      <c r="H639">
        <v>10785</v>
      </c>
      <c r="I639">
        <v>33466</v>
      </c>
      <c r="J639">
        <v>1</v>
      </c>
      <c r="K639" t="s">
        <v>37</v>
      </c>
      <c r="L639" s="1">
        <v>44814</v>
      </c>
      <c r="M639" t="s">
        <v>89</v>
      </c>
      <c r="N639" t="s">
        <v>65</v>
      </c>
      <c r="O639">
        <v>4698.5839999999998</v>
      </c>
      <c r="P639">
        <v>427.14400000000001</v>
      </c>
      <c r="Q639">
        <v>0.4</v>
      </c>
    </row>
    <row r="640" spans="1:17">
      <c r="A640" t="s">
        <v>49</v>
      </c>
      <c r="B640" t="s">
        <v>18</v>
      </c>
      <c r="C640" t="s">
        <v>35</v>
      </c>
      <c r="D640" t="s">
        <v>50</v>
      </c>
      <c r="E640">
        <v>0.11</v>
      </c>
      <c r="F640">
        <v>12320.14</v>
      </c>
      <c r="G640">
        <v>4.67</v>
      </c>
      <c r="H640">
        <v>32614</v>
      </c>
      <c r="I640">
        <v>98123</v>
      </c>
      <c r="J640">
        <v>7</v>
      </c>
      <c r="K640" t="s">
        <v>21</v>
      </c>
      <c r="L640" s="1">
        <v>44764</v>
      </c>
      <c r="M640" t="s">
        <v>22</v>
      </c>
      <c r="N640" t="s">
        <v>23</v>
      </c>
      <c r="O640">
        <v>13552.154</v>
      </c>
      <c r="P640">
        <v>1232.0139999999999</v>
      </c>
      <c r="Q640">
        <v>0.38</v>
      </c>
    </row>
    <row r="641" spans="1:17">
      <c r="A641" t="s">
        <v>28</v>
      </c>
      <c r="B641" t="s">
        <v>25</v>
      </c>
      <c r="C641" t="s">
        <v>30</v>
      </c>
      <c r="D641" t="s">
        <v>50</v>
      </c>
      <c r="E641">
        <v>0.04</v>
      </c>
      <c r="F641">
        <v>5359.93</v>
      </c>
      <c r="G641">
        <v>7.88</v>
      </c>
      <c r="H641">
        <v>13749</v>
      </c>
      <c r="I641">
        <v>42245</v>
      </c>
      <c r="J641">
        <v>2</v>
      </c>
      <c r="K641" t="s">
        <v>46</v>
      </c>
      <c r="L641" s="1">
        <v>44887</v>
      </c>
      <c r="M641" t="s">
        <v>95</v>
      </c>
      <c r="N641" t="s">
        <v>41</v>
      </c>
      <c r="O641">
        <v>5895.9229999999998</v>
      </c>
      <c r="P641">
        <v>535.99300000000005</v>
      </c>
      <c r="Q641">
        <v>0.39</v>
      </c>
    </row>
    <row r="642" spans="1:17">
      <c r="A642" t="s">
        <v>28</v>
      </c>
      <c r="B642" t="s">
        <v>18</v>
      </c>
      <c r="C642" t="s">
        <v>19</v>
      </c>
      <c r="D642" t="s">
        <v>42</v>
      </c>
      <c r="E642">
        <v>0.14000000000000001</v>
      </c>
      <c r="F642">
        <v>500</v>
      </c>
      <c r="G642">
        <v>0.91518598999091505</v>
      </c>
      <c r="H642">
        <v>1091</v>
      </c>
      <c r="I642">
        <v>4535</v>
      </c>
      <c r="J642">
        <v>1</v>
      </c>
      <c r="K642" t="s">
        <v>37</v>
      </c>
      <c r="L642" s="1">
        <v>44656</v>
      </c>
      <c r="M642" t="s">
        <v>89</v>
      </c>
      <c r="N642" t="s">
        <v>73</v>
      </c>
      <c r="O642">
        <v>550</v>
      </c>
      <c r="P642">
        <v>50</v>
      </c>
      <c r="Q642">
        <v>0.46</v>
      </c>
    </row>
    <row r="643" spans="1:17">
      <c r="A643" t="s">
        <v>55</v>
      </c>
      <c r="B643" t="s">
        <v>29</v>
      </c>
      <c r="C643" t="s">
        <v>19</v>
      </c>
      <c r="D643" t="s">
        <v>36</v>
      </c>
      <c r="E643">
        <v>0.02</v>
      </c>
      <c r="F643">
        <v>2310.5500000000002</v>
      </c>
      <c r="G643">
        <v>5.41</v>
      </c>
      <c r="H643">
        <v>5649</v>
      </c>
      <c r="I643">
        <v>18253</v>
      </c>
      <c r="J643">
        <v>4</v>
      </c>
      <c r="K643" t="s">
        <v>37</v>
      </c>
      <c r="L643" s="1">
        <v>44836</v>
      </c>
      <c r="M643" t="s">
        <v>64</v>
      </c>
      <c r="N643" t="s">
        <v>57</v>
      </c>
      <c r="O643">
        <v>2541.605</v>
      </c>
      <c r="P643">
        <v>231.05500000000001</v>
      </c>
      <c r="Q643">
        <v>0.41</v>
      </c>
    </row>
    <row r="644" spans="1:17">
      <c r="A644" t="s">
        <v>55</v>
      </c>
      <c r="B644" t="s">
        <v>18</v>
      </c>
      <c r="C644" t="s">
        <v>40</v>
      </c>
      <c r="D644" t="s">
        <v>50</v>
      </c>
      <c r="E644">
        <v>0.01</v>
      </c>
      <c r="F644">
        <v>8496.9500000000007</v>
      </c>
      <c r="G644">
        <v>5.55</v>
      </c>
      <c r="H644">
        <v>22280</v>
      </c>
      <c r="I644">
        <v>67514</v>
      </c>
      <c r="J644">
        <v>7</v>
      </c>
      <c r="K644" t="s">
        <v>37</v>
      </c>
      <c r="L644" s="1">
        <v>44801</v>
      </c>
      <c r="M644" t="s">
        <v>99</v>
      </c>
      <c r="N644" t="s">
        <v>32</v>
      </c>
      <c r="O644">
        <v>9346.6450000000004</v>
      </c>
      <c r="P644">
        <v>849.69500000000096</v>
      </c>
      <c r="Q644">
        <v>0.38</v>
      </c>
    </row>
    <row r="645" spans="1:17">
      <c r="A645" t="s">
        <v>39</v>
      </c>
      <c r="B645" t="s">
        <v>25</v>
      </c>
      <c r="C645" t="s">
        <v>30</v>
      </c>
      <c r="D645" t="s">
        <v>36</v>
      </c>
      <c r="E645">
        <v>0.13</v>
      </c>
      <c r="F645">
        <v>4357.3</v>
      </c>
      <c r="G645">
        <v>0.09</v>
      </c>
      <c r="H645">
        <v>11016</v>
      </c>
      <c r="I645">
        <v>34149</v>
      </c>
      <c r="J645">
        <v>10</v>
      </c>
      <c r="K645" t="s">
        <v>53</v>
      </c>
      <c r="L645" s="1">
        <v>44900</v>
      </c>
      <c r="M645" t="s">
        <v>104</v>
      </c>
      <c r="N645" t="s">
        <v>63</v>
      </c>
      <c r="O645">
        <v>4793.03</v>
      </c>
      <c r="P645">
        <v>435.73</v>
      </c>
      <c r="Q645">
        <v>0.4</v>
      </c>
    </row>
    <row r="646" spans="1:17">
      <c r="A646" t="s">
        <v>24</v>
      </c>
      <c r="B646" t="s">
        <v>25</v>
      </c>
      <c r="C646" t="s">
        <v>19</v>
      </c>
      <c r="D646" t="s">
        <v>50</v>
      </c>
      <c r="E646">
        <v>0.03</v>
      </c>
      <c r="F646">
        <v>2374.9299999999998</v>
      </c>
      <c r="G646">
        <v>3.49</v>
      </c>
      <c r="H646">
        <v>5806</v>
      </c>
      <c r="I646">
        <v>18718</v>
      </c>
      <c r="J646">
        <v>3</v>
      </c>
      <c r="K646" t="s">
        <v>53</v>
      </c>
      <c r="L646" s="1">
        <v>44792</v>
      </c>
      <c r="M646" t="s">
        <v>58</v>
      </c>
      <c r="N646" t="s">
        <v>32</v>
      </c>
      <c r="O646">
        <v>2612.4229999999998</v>
      </c>
      <c r="P646">
        <v>237.49299999999999</v>
      </c>
      <c r="Q646">
        <v>0.41</v>
      </c>
    </row>
    <row r="647" spans="1:17">
      <c r="A647" t="s">
        <v>28</v>
      </c>
      <c r="B647" t="s">
        <v>18</v>
      </c>
      <c r="C647" t="s">
        <v>19</v>
      </c>
      <c r="D647" t="s">
        <v>36</v>
      </c>
      <c r="E647">
        <v>0.04</v>
      </c>
      <c r="F647">
        <v>2621.9</v>
      </c>
      <c r="G647">
        <v>7.37</v>
      </c>
      <c r="H647">
        <v>6415</v>
      </c>
      <c r="I647">
        <v>20523</v>
      </c>
      <c r="J647">
        <v>10</v>
      </c>
      <c r="K647" t="s">
        <v>37</v>
      </c>
      <c r="L647" s="1">
        <v>44900</v>
      </c>
      <c r="M647" t="s">
        <v>38</v>
      </c>
      <c r="N647" t="s">
        <v>63</v>
      </c>
      <c r="O647">
        <v>2884.09</v>
      </c>
      <c r="P647">
        <v>262.19</v>
      </c>
      <c r="Q647">
        <v>0.41</v>
      </c>
    </row>
    <row r="648" spans="1:17">
      <c r="A648" t="s">
        <v>24</v>
      </c>
      <c r="B648" t="s">
        <v>34</v>
      </c>
      <c r="C648" t="s">
        <v>40</v>
      </c>
      <c r="D648" t="s">
        <v>50</v>
      </c>
      <c r="E648">
        <v>0.14000000000000001</v>
      </c>
      <c r="F648">
        <v>9391.75</v>
      </c>
      <c r="G648">
        <v>2.76</v>
      </c>
      <c r="H648">
        <v>24681</v>
      </c>
      <c r="I648">
        <v>74625</v>
      </c>
      <c r="J648">
        <v>4</v>
      </c>
      <c r="K648" t="s">
        <v>53</v>
      </c>
      <c r="L648" s="1">
        <v>44661</v>
      </c>
      <c r="M648" t="s">
        <v>66</v>
      </c>
      <c r="N648" t="s">
        <v>73</v>
      </c>
      <c r="O648">
        <v>10330.924999999999</v>
      </c>
      <c r="P648">
        <v>939.17500000000098</v>
      </c>
      <c r="Q648">
        <v>0.38</v>
      </c>
    </row>
    <row r="649" spans="1:17">
      <c r="A649" t="s">
        <v>39</v>
      </c>
      <c r="B649" t="s">
        <v>29</v>
      </c>
      <c r="C649" t="s">
        <v>35</v>
      </c>
      <c r="D649" t="s">
        <v>50</v>
      </c>
      <c r="E649">
        <v>0.08</v>
      </c>
      <c r="F649">
        <v>14064.72</v>
      </c>
      <c r="G649">
        <v>5.81</v>
      </c>
      <c r="H649">
        <v>36806</v>
      </c>
      <c r="I649">
        <v>110542</v>
      </c>
      <c r="J649">
        <v>4</v>
      </c>
      <c r="K649" t="s">
        <v>21</v>
      </c>
      <c r="L649" s="1">
        <v>44781</v>
      </c>
      <c r="M649" t="s">
        <v>61</v>
      </c>
      <c r="N649" t="s">
        <v>32</v>
      </c>
      <c r="O649">
        <v>15471.191999999999</v>
      </c>
      <c r="P649">
        <v>1406.472</v>
      </c>
      <c r="Q649">
        <v>0.38</v>
      </c>
    </row>
    <row r="650" spans="1:17">
      <c r="A650" t="s">
        <v>28</v>
      </c>
      <c r="B650" t="s">
        <v>34</v>
      </c>
      <c r="C650" t="s">
        <v>35</v>
      </c>
      <c r="D650" t="s">
        <v>36</v>
      </c>
      <c r="E650">
        <v>0.04</v>
      </c>
      <c r="F650">
        <v>12327.33</v>
      </c>
      <c r="G650">
        <v>1.07</v>
      </c>
      <c r="H650">
        <v>32633</v>
      </c>
      <c r="I650">
        <v>98180</v>
      </c>
      <c r="J650">
        <v>8</v>
      </c>
      <c r="K650" t="s">
        <v>46</v>
      </c>
      <c r="L650" s="1">
        <v>44592</v>
      </c>
      <c r="M650" t="s">
        <v>87</v>
      </c>
      <c r="N650" t="s">
        <v>27</v>
      </c>
      <c r="O650">
        <v>13560.063</v>
      </c>
      <c r="P650">
        <v>1232.7329999999999</v>
      </c>
      <c r="Q650">
        <v>0.38</v>
      </c>
    </row>
    <row r="651" spans="1:17">
      <c r="A651" t="s">
        <v>17</v>
      </c>
      <c r="B651" t="s">
        <v>29</v>
      </c>
      <c r="C651" t="s">
        <v>30</v>
      </c>
      <c r="D651" t="s">
        <v>42</v>
      </c>
      <c r="E651">
        <v>0.12</v>
      </c>
      <c r="F651">
        <v>5915.34</v>
      </c>
      <c r="G651">
        <v>1.2834053531513201</v>
      </c>
      <c r="H651">
        <v>8968</v>
      </c>
      <c r="I651">
        <v>30184</v>
      </c>
      <c r="J651">
        <v>1</v>
      </c>
      <c r="K651" t="s">
        <v>21</v>
      </c>
      <c r="L651" s="1">
        <v>44839</v>
      </c>
      <c r="M651" t="s">
        <v>22</v>
      </c>
      <c r="N651" t="s">
        <v>57</v>
      </c>
      <c r="O651">
        <v>6506.8739999999998</v>
      </c>
      <c r="P651">
        <v>591.53399999999999</v>
      </c>
      <c r="Q651">
        <v>0.66</v>
      </c>
    </row>
    <row r="652" spans="1:17">
      <c r="A652" t="s">
        <v>49</v>
      </c>
      <c r="B652" t="s">
        <v>25</v>
      </c>
      <c r="C652" t="s">
        <v>19</v>
      </c>
      <c r="D652" t="s">
        <v>36</v>
      </c>
      <c r="E652">
        <v>0.04</v>
      </c>
      <c r="F652">
        <v>1397.25</v>
      </c>
      <c r="G652">
        <v>6.49</v>
      </c>
      <c r="H652">
        <v>3600</v>
      </c>
      <c r="I652">
        <v>12184</v>
      </c>
      <c r="J652">
        <v>9</v>
      </c>
      <c r="K652" t="s">
        <v>21</v>
      </c>
      <c r="L652" s="1">
        <v>44752</v>
      </c>
      <c r="M652" t="s">
        <v>71</v>
      </c>
      <c r="N652" t="s">
        <v>23</v>
      </c>
      <c r="O652">
        <v>1536.9749999999999</v>
      </c>
      <c r="P652">
        <v>139.72499999999999</v>
      </c>
      <c r="Q652">
        <v>0.39</v>
      </c>
    </row>
    <row r="653" spans="1:17">
      <c r="A653" t="s">
        <v>28</v>
      </c>
      <c r="B653" t="s">
        <v>25</v>
      </c>
      <c r="C653" t="s">
        <v>40</v>
      </c>
      <c r="D653" t="s">
        <v>20</v>
      </c>
      <c r="E653">
        <v>7.0000000000000007E-2</v>
      </c>
      <c r="F653">
        <v>8594.7900000000009</v>
      </c>
      <c r="G653">
        <v>1.39</v>
      </c>
      <c r="H653">
        <v>22546</v>
      </c>
      <c r="I653">
        <v>68303</v>
      </c>
      <c r="J653">
        <v>5</v>
      </c>
      <c r="K653" t="s">
        <v>51</v>
      </c>
      <c r="L653" s="1">
        <v>44594</v>
      </c>
      <c r="M653" t="s">
        <v>85</v>
      </c>
      <c r="N653" t="s">
        <v>60</v>
      </c>
      <c r="O653">
        <v>9454.2690000000002</v>
      </c>
      <c r="P653">
        <v>859.47900000000095</v>
      </c>
      <c r="Q653">
        <v>0.38</v>
      </c>
    </row>
    <row r="654" spans="1:17">
      <c r="A654" t="s">
        <v>55</v>
      </c>
      <c r="B654" t="s">
        <v>18</v>
      </c>
      <c r="C654" t="s">
        <v>19</v>
      </c>
      <c r="D654" t="s">
        <v>36</v>
      </c>
      <c r="E654">
        <v>0.05</v>
      </c>
      <c r="F654">
        <v>2766.89</v>
      </c>
      <c r="G654">
        <v>4.28</v>
      </c>
      <c r="H654">
        <v>6775</v>
      </c>
      <c r="I654">
        <v>21588</v>
      </c>
      <c r="J654">
        <v>4</v>
      </c>
      <c r="K654" t="s">
        <v>21</v>
      </c>
      <c r="L654" s="1">
        <v>44594</v>
      </c>
      <c r="M654" t="s">
        <v>71</v>
      </c>
      <c r="N654" t="s">
        <v>60</v>
      </c>
      <c r="O654">
        <v>3043.5790000000002</v>
      </c>
      <c r="P654">
        <v>276.68900000000002</v>
      </c>
      <c r="Q654">
        <v>0.41</v>
      </c>
    </row>
    <row r="655" spans="1:17">
      <c r="A655" t="s">
        <v>45</v>
      </c>
      <c r="B655" t="s">
        <v>25</v>
      </c>
      <c r="C655" t="s">
        <v>35</v>
      </c>
      <c r="D655" t="s">
        <v>42</v>
      </c>
      <c r="E655">
        <v>0.09</v>
      </c>
      <c r="F655">
        <v>11795.97</v>
      </c>
      <c r="G655">
        <v>0.27705825868865502</v>
      </c>
      <c r="H655">
        <v>18349</v>
      </c>
      <c r="I655">
        <v>60728</v>
      </c>
      <c r="J655">
        <v>1</v>
      </c>
      <c r="K655" t="s">
        <v>37</v>
      </c>
      <c r="L655" s="1">
        <v>44569</v>
      </c>
      <c r="M655" t="s">
        <v>94</v>
      </c>
      <c r="N655" t="s">
        <v>27</v>
      </c>
      <c r="O655">
        <v>12975.566999999999</v>
      </c>
      <c r="P655">
        <v>1179.597</v>
      </c>
      <c r="Q655">
        <v>0.64</v>
      </c>
    </row>
    <row r="656" spans="1:17">
      <c r="A656" t="s">
        <v>17</v>
      </c>
      <c r="B656" t="s">
        <v>25</v>
      </c>
      <c r="C656" t="s">
        <v>40</v>
      </c>
      <c r="D656" t="s">
        <v>42</v>
      </c>
      <c r="E656">
        <v>0.14000000000000001</v>
      </c>
      <c r="F656">
        <v>10886.24</v>
      </c>
      <c r="G656">
        <v>0.194834517400409</v>
      </c>
      <c r="H656">
        <v>16893</v>
      </c>
      <c r="I656">
        <v>55990</v>
      </c>
      <c r="J656">
        <v>1</v>
      </c>
      <c r="K656" t="s">
        <v>51</v>
      </c>
      <c r="L656" s="1">
        <v>44733</v>
      </c>
      <c r="M656" t="s">
        <v>85</v>
      </c>
      <c r="N656" t="s">
        <v>69</v>
      </c>
      <c r="O656">
        <v>11974.864</v>
      </c>
      <c r="P656">
        <v>1088.624</v>
      </c>
      <c r="Q656">
        <v>0.64</v>
      </c>
    </row>
    <row r="657" spans="1:17">
      <c r="A657" t="s">
        <v>33</v>
      </c>
      <c r="B657" t="s">
        <v>18</v>
      </c>
      <c r="C657" t="s">
        <v>40</v>
      </c>
      <c r="D657" t="s">
        <v>20</v>
      </c>
      <c r="E657">
        <v>0.12</v>
      </c>
      <c r="F657">
        <v>9875.11</v>
      </c>
      <c r="G657">
        <v>1.01</v>
      </c>
      <c r="H657">
        <v>26022</v>
      </c>
      <c r="I657">
        <v>78597</v>
      </c>
      <c r="J657">
        <v>4</v>
      </c>
      <c r="K657" t="s">
        <v>51</v>
      </c>
      <c r="L657" s="1">
        <v>44775</v>
      </c>
      <c r="M657" t="s">
        <v>97</v>
      </c>
      <c r="N657" t="s">
        <v>32</v>
      </c>
      <c r="O657">
        <v>10862.620999999999</v>
      </c>
      <c r="P657">
        <v>987.51099999999997</v>
      </c>
      <c r="Q657">
        <v>0.38</v>
      </c>
    </row>
    <row r="658" spans="1:17">
      <c r="A658" t="s">
        <v>33</v>
      </c>
      <c r="B658" t="s">
        <v>29</v>
      </c>
      <c r="C658" t="s">
        <v>35</v>
      </c>
      <c r="D658" t="s">
        <v>42</v>
      </c>
      <c r="E658">
        <v>0.03</v>
      </c>
      <c r="F658">
        <v>11996.84</v>
      </c>
      <c r="G658">
        <v>0.89731126362390501</v>
      </c>
      <c r="H658">
        <v>18653</v>
      </c>
      <c r="I658">
        <v>61719</v>
      </c>
      <c r="J658">
        <v>1</v>
      </c>
      <c r="K658" t="s">
        <v>53</v>
      </c>
      <c r="L658" s="1">
        <v>44643</v>
      </c>
      <c r="M658" t="s">
        <v>82</v>
      </c>
      <c r="N658" t="s">
        <v>81</v>
      </c>
      <c r="O658">
        <v>13196.523999999999</v>
      </c>
      <c r="P658">
        <v>1199.684</v>
      </c>
      <c r="Q658">
        <v>0.64</v>
      </c>
    </row>
    <row r="659" spans="1:17">
      <c r="A659" t="s">
        <v>67</v>
      </c>
      <c r="B659" t="s">
        <v>18</v>
      </c>
      <c r="C659" t="s">
        <v>40</v>
      </c>
      <c r="D659" t="s">
        <v>50</v>
      </c>
      <c r="E659">
        <v>0.1</v>
      </c>
      <c r="F659">
        <v>9142.2000000000007</v>
      </c>
      <c r="G659">
        <v>4.74</v>
      </c>
      <c r="H659">
        <v>24010</v>
      </c>
      <c r="I659">
        <v>72637</v>
      </c>
      <c r="J659">
        <v>2</v>
      </c>
      <c r="K659" t="s">
        <v>21</v>
      </c>
      <c r="L659" s="1">
        <v>44730</v>
      </c>
      <c r="M659" t="s">
        <v>103</v>
      </c>
      <c r="N659" t="s">
        <v>69</v>
      </c>
      <c r="O659">
        <v>10056.42</v>
      </c>
      <c r="P659">
        <v>914.22000000000105</v>
      </c>
      <c r="Q659">
        <v>0.38</v>
      </c>
    </row>
    <row r="660" spans="1:17">
      <c r="A660" t="s">
        <v>67</v>
      </c>
      <c r="B660" t="s">
        <v>34</v>
      </c>
      <c r="C660" t="s">
        <v>35</v>
      </c>
      <c r="D660" t="s">
        <v>36</v>
      </c>
      <c r="E660">
        <v>0.04</v>
      </c>
      <c r="F660">
        <v>13251.55</v>
      </c>
      <c r="G660">
        <v>2.76</v>
      </c>
      <c r="H660">
        <v>34996</v>
      </c>
      <c r="I660">
        <v>105178</v>
      </c>
      <c r="J660">
        <v>5</v>
      </c>
      <c r="K660" t="s">
        <v>21</v>
      </c>
      <c r="L660" s="1">
        <v>44692</v>
      </c>
      <c r="M660" t="s">
        <v>43</v>
      </c>
      <c r="N660" t="s">
        <v>44</v>
      </c>
      <c r="O660">
        <v>14576.705</v>
      </c>
      <c r="P660">
        <v>1325.155</v>
      </c>
      <c r="Q660">
        <v>0.38</v>
      </c>
    </row>
    <row r="661" spans="1:17">
      <c r="A661" t="s">
        <v>33</v>
      </c>
      <c r="B661" t="s">
        <v>34</v>
      </c>
      <c r="C661" t="s">
        <v>40</v>
      </c>
      <c r="D661" t="s">
        <v>50</v>
      </c>
      <c r="E661">
        <v>7.0000000000000007E-2</v>
      </c>
      <c r="F661">
        <v>10042.81</v>
      </c>
      <c r="G661">
        <v>0.52</v>
      </c>
      <c r="H661">
        <v>26465</v>
      </c>
      <c r="I661">
        <v>79910</v>
      </c>
      <c r="J661">
        <v>5</v>
      </c>
      <c r="K661" t="s">
        <v>46</v>
      </c>
      <c r="L661" s="1">
        <v>44746</v>
      </c>
      <c r="M661" t="s">
        <v>93</v>
      </c>
      <c r="N661" t="s">
        <v>23</v>
      </c>
      <c r="O661">
        <v>11047.091</v>
      </c>
      <c r="P661">
        <v>1004.2809999999999</v>
      </c>
      <c r="Q661">
        <v>0.38</v>
      </c>
    </row>
    <row r="662" spans="1:17">
      <c r="A662" t="s">
        <v>17</v>
      </c>
      <c r="B662" t="s">
        <v>25</v>
      </c>
      <c r="C662" t="s">
        <v>19</v>
      </c>
      <c r="D662" t="s">
        <v>42</v>
      </c>
      <c r="E662">
        <v>0.06</v>
      </c>
      <c r="F662">
        <v>721.83</v>
      </c>
      <c r="G662">
        <v>0.64170267657566105</v>
      </c>
      <c r="H662">
        <v>1409</v>
      </c>
      <c r="I662">
        <v>5568</v>
      </c>
      <c r="J662">
        <v>1</v>
      </c>
      <c r="K662" t="s">
        <v>51</v>
      </c>
      <c r="L662" s="1">
        <v>44566</v>
      </c>
      <c r="M662" t="s">
        <v>75</v>
      </c>
      <c r="N662" t="s">
        <v>27</v>
      </c>
      <c r="O662">
        <v>794.01300000000003</v>
      </c>
      <c r="P662">
        <v>72.183000000000106</v>
      </c>
      <c r="Q662">
        <v>0.51</v>
      </c>
    </row>
    <row r="663" spans="1:17">
      <c r="A663" t="s">
        <v>17</v>
      </c>
      <c r="B663" t="s">
        <v>18</v>
      </c>
      <c r="C663" t="s">
        <v>40</v>
      </c>
      <c r="D663" t="s">
        <v>50</v>
      </c>
      <c r="E663">
        <v>0.1</v>
      </c>
      <c r="F663">
        <v>11023.5</v>
      </c>
      <c r="G663">
        <v>4.22</v>
      </c>
      <c r="H663">
        <v>29131</v>
      </c>
      <c r="I663">
        <v>87808</v>
      </c>
      <c r="J663">
        <v>8</v>
      </c>
      <c r="K663" t="s">
        <v>51</v>
      </c>
      <c r="L663" s="1">
        <v>44643</v>
      </c>
      <c r="M663" t="s">
        <v>85</v>
      </c>
      <c r="N663" t="s">
        <v>81</v>
      </c>
      <c r="O663">
        <v>12125.85</v>
      </c>
      <c r="P663">
        <v>1102.3499999999999</v>
      </c>
      <c r="Q663">
        <v>0.38</v>
      </c>
    </row>
    <row r="664" spans="1:17">
      <c r="A664" t="s">
        <v>33</v>
      </c>
      <c r="B664" t="s">
        <v>18</v>
      </c>
      <c r="C664" t="s">
        <v>19</v>
      </c>
      <c r="D664" t="s">
        <v>20</v>
      </c>
      <c r="E664">
        <v>0.02</v>
      </c>
      <c r="F664">
        <v>500</v>
      </c>
      <c r="G664">
        <v>0.63</v>
      </c>
      <c r="H664">
        <v>959</v>
      </c>
      <c r="I664">
        <v>4361</v>
      </c>
      <c r="J664">
        <v>8</v>
      </c>
      <c r="K664" t="s">
        <v>46</v>
      </c>
      <c r="L664" s="1">
        <v>44704</v>
      </c>
      <c r="M664" t="s">
        <v>70</v>
      </c>
      <c r="N664" t="s">
        <v>44</v>
      </c>
      <c r="O664">
        <v>550</v>
      </c>
      <c r="P664">
        <v>50</v>
      </c>
      <c r="Q664">
        <v>0.52</v>
      </c>
    </row>
    <row r="665" spans="1:17">
      <c r="A665" t="s">
        <v>55</v>
      </c>
      <c r="B665" t="s">
        <v>25</v>
      </c>
      <c r="C665" t="s">
        <v>30</v>
      </c>
      <c r="D665" t="s">
        <v>50</v>
      </c>
      <c r="E665">
        <v>0.09</v>
      </c>
      <c r="F665">
        <v>4623.55</v>
      </c>
      <c r="G665">
        <v>1.71</v>
      </c>
      <c r="H665">
        <v>11749</v>
      </c>
      <c r="I665">
        <v>36321</v>
      </c>
      <c r="J665">
        <v>3</v>
      </c>
      <c r="K665" t="s">
        <v>51</v>
      </c>
      <c r="L665" s="1">
        <v>44608</v>
      </c>
      <c r="M665" t="s">
        <v>97</v>
      </c>
      <c r="N665" t="s">
        <v>60</v>
      </c>
      <c r="O665">
        <v>5085.9049999999997</v>
      </c>
      <c r="P665">
        <v>462.35500000000002</v>
      </c>
      <c r="Q665">
        <v>0.39</v>
      </c>
    </row>
    <row r="666" spans="1:17">
      <c r="A666" t="s">
        <v>28</v>
      </c>
      <c r="B666" t="s">
        <v>25</v>
      </c>
      <c r="C666" t="s">
        <v>40</v>
      </c>
      <c r="D666" t="s">
        <v>20</v>
      </c>
      <c r="E666">
        <v>0.1</v>
      </c>
      <c r="F666">
        <v>8832.61</v>
      </c>
      <c r="G666">
        <v>6.5</v>
      </c>
      <c r="H666">
        <v>23177</v>
      </c>
      <c r="I666">
        <v>70171</v>
      </c>
      <c r="J666">
        <v>2</v>
      </c>
      <c r="K666" t="s">
        <v>53</v>
      </c>
      <c r="L666" s="1">
        <v>44844</v>
      </c>
      <c r="M666" t="s">
        <v>68</v>
      </c>
      <c r="N666" t="s">
        <v>57</v>
      </c>
      <c r="O666">
        <v>9715.8709999999992</v>
      </c>
      <c r="P666">
        <v>883.26099999999997</v>
      </c>
      <c r="Q666">
        <v>0.38</v>
      </c>
    </row>
    <row r="667" spans="1:17">
      <c r="A667" t="s">
        <v>55</v>
      </c>
      <c r="B667" t="s">
        <v>25</v>
      </c>
      <c r="C667" t="s">
        <v>30</v>
      </c>
      <c r="D667" t="s">
        <v>20</v>
      </c>
      <c r="E667">
        <v>0.08</v>
      </c>
      <c r="F667">
        <v>6107.6</v>
      </c>
      <c r="G667">
        <v>2.56</v>
      </c>
      <c r="H667">
        <v>15790</v>
      </c>
      <c r="I667">
        <v>48291</v>
      </c>
      <c r="J667">
        <v>2</v>
      </c>
      <c r="K667" t="s">
        <v>21</v>
      </c>
      <c r="L667" s="1">
        <v>44688</v>
      </c>
      <c r="M667" t="s">
        <v>43</v>
      </c>
      <c r="N667" t="s">
        <v>44</v>
      </c>
      <c r="O667">
        <v>6718.36</v>
      </c>
      <c r="P667">
        <v>610.76</v>
      </c>
      <c r="Q667">
        <v>0.39</v>
      </c>
    </row>
    <row r="668" spans="1:17">
      <c r="A668" t="s">
        <v>45</v>
      </c>
      <c r="B668" t="s">
        <v>18</v>
      </c>
      <c r="C668" t="s">
        <v>30</v>
      </c>
      <c r="D668" t="s">
        <v>42</v>
      </c>
      <c r="E668">
        <v>0.12</v>
      </c>
      <c r="F668">
        <v>7494.21</v>
      </c>
      <c r="G668">
        <v>1.3084299700651301</v>
      </c>
      <c r="H668">
        <v>11471</v>
      </c>
      <c r="I668">
        <v>38333</v>
      </c>
      <c r="J668">
        <v>1</v>
      </c>
      <c r="K668" t="s">
        <v>21</v>
      </c>
      <c r="L668" s="1">
        <v>44691</v>
      </c>
      <c r="M668" t="s">
        <v>71</v>
      </c>
      <c r="N668" t="s">
        <v>44</v>
      </c>
      <c r="O668">
        <v>8243.6309999999994</v>
      </c>
      <c r="P668">
        <v>749.42100000000096</v>
      </c>
      <c r="Q668">
        <v>0.65</v>
      </c>
    </row>
    <row r="669" spans="1:17">
      <c r="A669" t="s">
        <v>67</v>
      </c>
      <c r="B669" t="s">
        <v>25</v>
      </c>
      <c r="C669" t="s">
        <v>40</v>
      </c>
      <c r="D669" t="s">
        <v>50</v>
      </c>
      <c r="E669">
        <v>0.12</v>
      </c>
      <c r="F669">
        <v>10565.81</v>
      </c>
      <c r="G669">
        <v>4.33</v>
      </c>
      <c r="H669">
        <v>27891</v>
      </c>
      <c r="I669">
        <v>84134</v>
      </c>
      <c r="J669">
        <v>5</v>
      </c>
      <c r="K669" t="s">
        <v>51</v>
      </c>
      <c r="L669" s="1">
        <v>44675</v>
      </c>
      <c r="M669" t="s">
        <v>59</v>
      </c>
      <c r="N669" t="s">
        <v>73</v>
      </c>
      <c r="O669">
        <v>11622.391</v>
      </c>
      <c r="P669">
        <v>1056.5809999999999</v>
      </c>
      <c r="Q669">
        <v>0.38</v>
      </c>
    </row>
    <row r="670" spans="1:17">
      <c r="A670" t="s">
        <v>67</v>
      </c>
      <c r="B670" t="s">
        <v>18</v>
      </c>
      <c r="C670" t="s">
        <v>35</v>
      </c>
      <c r="D670" t="s">
        <v>50</v>
      </c>
      <c r="E670">
        <v>0.02</v>
      </c>
      <c r="F670">
        <v>12258.06</v>
      </c>
      <c r="G670">
        <v>3.91</v>
      </c>
      <c r="H670">
        <v>32454</v>
      </c>
      <c r="I670">
        <v>97648</v>
      </c>
      <c r="J670">
        <v>6</v>
      </c>
      <c r="K670" t="s">
        <v>53</v>
      </c>
      <c r="L670" s="1">
        <v>44801</v>
      </c>
      <c r="M670" t="s">
        <v>54</v>
      </c>
      <c r="N670" t="s">
        <v>32</v>
      </c>
      <c r="O670">
        <v>13483.866</v>
      </c>
      <c r="P670">
        <v>1225.806</v>
      </c>
      <c r="Q670">
        <v>0.38</v>
      </c>
    </row>
    <row r="671" spans="1:17">
      <c r="A671" t="s">
        <v>24</v>
      </c>
      <c r="B671" t="s">
        <v>18</v>
      </c>
      <c r="C671" t="s">
        <v>40</v>
      </c>
      <c r="D671" t="s">
        <v>20</v>
      </c>
      <c r="E671">
        <v>0.02</v>
      </c>
      <c r="F671">
        <v>8659.9</v>
      </c>
      <c r="G671">
        <v>4.21</v>
      </c>
      <c r="H671">
        <v>22718</v>
      </c>
      <c r="I671">
        <v>68812</v>
      </c>
      <c r="J671">
        <v>3</v>
      </c>
      <c r="K671" t="s">
        <v>37</v>
      </c>
      <c r="L671" s="1">
        <v>44666</v>
      </c>
      <c r="M671" t="s">
        <v>38</v>
      </c>
      <c r="N671" t="s">
        <v>73</v>
      </c>
      <c r="O671">
        <v>9525.89</v>
      </c>
      <c r="P671">
        <v>865.99000000000103</v>
      </c>
      <c r="Q671">
        <v>0.38</v>
      </c>
    </row>
    <row r="672" spans="1:17">
      <c r="A672" t="s">
        <v>28</v>
      </c>
      <c r="B672" t="s">
        <v>18</v>
      </c>
      <c r="C672" t="s">
        <v>19</v>
      </c>
      <c r="D672" t="s">
        <v>42</v>
      </c>
      <c r="E672">
        <v>0.1</v>
      </c>
      <c r="F672">
        <v>3870.5</v>
      </c>
      <c r="G672">
        <v>0.46653035817896199</v>
      </c>
      <c r="H672">
        <v>5688</v>
      </c>
      <c r="I672">
        <v>19504</v>
      </c>
      <c r="J672">
        <v>1</v>
      </c>
      <c r="K672" t="s">
        <v>53</v>
      </c>
      <c r="L672" s="1">
        <v>44789</v>
      </c>
      <c r="M672" t="s">
        <v>54</v>
      </c>
      <c r="N672" t="s">
        <v>32</v>
      </c>
      <c r="O672">
        <v>4257.55</v>
      </c>
      <c r="P672">
        <v>387.05</v>
      </c>
      <c r="Q672">
        <v>0.68</v>
      </c>
    </row>
    <row r="673" spans="1:17">
      <c r="A673" t="s">
        <v>28</v>
      </c>
      <c r="B673" t="s">
        <v>18</v>
      </c>
      <c r="C673" t="s">
        <v>30</v>
      </c>
      <c r="D673" t="s">
        <v>20</v>
      </c>
      <c r="E673">
        <v>0.11</v>
      </c>
      <c r="F673">
        <v>7107.52</v>
      </c>
      <c r="G673">
        <v>7.68</v>
      </c>
      <c r="H673">
        <v>18488</v>
      </c>
      <c r="I673">
        <v>56281</v>
      </c>
      <c r="J673">
        <v>2</v>
      </c>
      <c r="K673" t="s">
        <v>51</v>
      </c>
      <c r="L673" s="1">
        <v>44794</v>
      </c>
      <c r="M673" t="s">
        <v>52</v>
      </c>
      <c r="N673" t="s">
        <v>32</v>
      </c>
      <c r="O673">
        <v>7818.2719999999999</v>
      </c>
      <c r="P673">
        <v>710.75199999999995</v>
      </c>
      <c r="Q673">
        <v>0.38</v>
      </c>
    </row>
    <row r="674" spans="1:17">
      <c r="A674" t="s">
        <v>49</v>
      </c>
      <c r="B674" t="s">
        <v>18</v>
      </c>
      <c r="C674" t="s">
        <v>35</v>
      </c>
      <c r="D674" t="s">
        <v>20</v>
      </c>
      <c r="E674">
        <v>7.0000000000000007E-2</v>
      </c>
      <c r="F674">
        <v>15000</v>
      </c>
      <c r="G674">
        <v>3.4</v>
      </c>
      <c r="H674">
        <v>39565</v>
      </c>
      <c r="I674">
        <v>118712</v>
      </c>
      <c r="J674">
        <v>8</v>
      </c>
      <c r="K674" t="s">
        <v>46</v>
      </c>
      <c r="L674" s="1">
        <v>44692</v>
      </c>
      <c r="M674" t="s">
        <v>70</v>
      </c>
      <c r="N674" t="s">
        <v>44</v>
      </c>
      <c r="O674">
        <v>16500</v>
      </c>
      <c r="P674">
        <v>1500</v>
      </c>
      <c r="Q674">
        <v>0.38</v>
      </c>
    </row>
    <row r="675" spans="1:17">
      <c r="A675" t="s">
        <v>24</v>
      </c>
      <c r="B675" t="s">
        <v>29</v>
      </c>
      <c r="C675" t="s">
        <v>40</v>
      </c>
      <c r="D675" t="s">
        <v>36</v>
      </c>
      <c r="E675">
        <v>0.1</v>
      </c>
      <c r="F675">
        <v>8031.53</v>
      </c>
      <c r="G675">
        <v>6.29</v>
      </c>
      <c r="H675">
        <v>21001</v>
      </c>
      <c r="I675">
        <v>63727</v>
      </c>
      <c r="J675">
        <v>1</v>
      </c>
      <c r="K675" t="s">
        <v>51</v>
      </c>
      <c r="L675" s="1">
        <v>44882</v>
      </c>
      <c r="M675" t="s">
        <v>101</v>
      </c>
      <c r="N675" t="s">
        <v>41</v>
      </c>
      <c r="O675">
        <v>8834.6830000000009</v>
      </c>
      <c r="P675">
        <v>803.15300000000104</v>
      </c>
      <c r="Q675">
        <v>0.38</v>
      </c>
    </row>
    <row r="676" spans="1:17">
      <c r="A676" t="s">
        <v>33</v>
      </c>
      <c r="B676" t="s">
        <v>18</v>
      </c>
      <c r="C676" t="s">
        <v>35</v>
      </c>
      <c r="D676" t="s">
        <v>36</v>
      </c>
      <c r="E676">
        <v>0.11</v>
      </c>
      <c r="F676">
        <v>13161.04</v>
      </c>
      <c r="G676">
        <v>5.46</v>
      </c>
      <c r="H676">
        <v>34776</v>
      </c>
      <c r="I676">
        <v>104527</v>
      </c>
      <c r="J676">
        <v>10</v>
      </c>
      <c r="K676" t="s">
        <v>46</v>
      </c>
      <c r="L676" s="1">
        <v>44748</v>
      </c>
      <c r="M676" t="s">
        <v>87</v>
      </c>
      <c r="N676" t="s">
        <v>23</v>
      </c>
      <c r="O676">
        <v>14477.144</v>
      </c>
      <c r="P676">
        <v>1316.104</v>
      </c>
      <c r="Q676">
        <v>0.38</v>
      </c>
    </row>
    <row r="677" spans="1:17">
      <c r="A677" t="s">
        <v>24</v>
      </c>
      <c r="B677" t="s">
        <v>25</v>
      </c>
      <c r="C677" t="s">
        <v>19</v>
      </c>
      <c r="D677" t="s">
        <v>50</v>
      </c>
      <c r="E677">
        <v>0.04</v>
      </c>
      <c r="F677">
        <v>3978.56</v>
      </c>
      <c r="G677">
        <v>7.9</v>
      </c>
      <c r="H677">
        <v>9984</v>
      </c>
      <c r="I677">
        <v>31093</v>
      </c>
      <c r="J677">
        <v>10</v>
      </c>
      <c r="K677" t="s">
        <v>21</v>
      </c>
      <c r="L677" s="1">
        <v>44840</v>
      </c>
      <c r="M677" t="s">
        <v>80</v>
      </c>
      <c r="N677" t="s">
        <v>57</v>
      </c>
      <c r="O677">
        <v>4376.4160000000002</v>
      </c>
      <c r="P677">
        <v>397.85599999999999</v>
      </c>
      <c r="Q677">
        <v>0.4</v>
      </c>
    </row>
    <row r="678" spans="1:17">
      <c r="A678" t="s">
        <v>67</v>
      </c>
      <c r="B678" t="s">
        <v>25</v>
      </c>
      <c r="C678" t="s">
        <v>35</v>
      </c>
      <c r="D678" t="s">
        <v>50</v>
      </c>
      <c r="E678">
        <v>0.14000000000000001</v>
      </c>
      <c r="F678">
        <v>14544.51</v>
      </c>
      <c r="G678">
        <v>6.76</v>
      </c>
      <c r="H678">
        <v>37712</v>
      </c>
      <c r="I678">
        <v>113224</v>
      </c>
      <c r="J678">
        <v>9</v>
      </c>
      <c r="K678" t="s">
        <v>51</v>
      </c>
      <c r="L678" s="1">
        <v>44902</v>
      </c>
      <c r="M678" t="s">
        <v>97</v>
      </c>
      <c r="N678" t="s">
        <v>63</v>
      </c>
      <c r="O678">
        <v>15998.960999999999</v>
      </c>
      <c r="P678">
        <v>1454.451</v>
      </c>
      <c r="Q678">
        <v>0.39</v>
      </c>
    </row>
    <row r="679" spans="1:17">
      <c r="A679" t="s">
        <v>17</v>
      </c>
      <c r="B679" t="s">
        <v>34</v>
      </c>
      <c r="C679" t="s">
        <v>40</v>
      </c>
      <c r="D679" t="s">
        <v>36</v>
      </c>
      <c r="E679">
        <v>0.1</v>
      </c>
      <c r="F679">
        <v>10430.67</v>
      </c>
      <c r="G679">
        <v>6.78</v>
      </c>
      <c r="H679">
        <v>27521</v>
      </c>
      <c r="I679">
        <v>83038</v>
      </c>
      <c r="J679">
        <v>10</v>
      </c>
      <c r="K679" t="s">
        <v>53</v>
      </c>
      <c r="L679" s="1">
        <v>44707</v>
      </c>
      <c r="M679" t="s">
        <v>54</v>
      </c>
      <c r="N679" t="s">
        <v>44</v>
      </c>
      <c r="O679">
        <v>11473.736999999999</v>
      </c>
      <c r="P679">
        <v>1043.067</v>
      </c>
      <c r="Q679">
        <v>0.38</v>
      </c>
    </row>
    <row r="680" spans="1:17">
      <c r="A680" t="s">
        <v>28</v>
      </c>
      <c r="B680" t="s">
        <v>25</v>
      </c>
      <c r="C680" t="s">
        <v>35</v>
      </c>
      <c r="D680" t="s">
        <v>36</v>
      </c>
      <c r="E680">
        <v>0.1</v>
      </c>
      <c r="F680">
        <v>13005.87</v>
      </c>
      <c r="G680">
        <v>3.13</v>
      </c>
      <c r="H680">
        <v>34392</v>
      </c>
      <c r="I680">
        <v>103389</v>
      </c>
      <c r="J680">
        <v>1</v>
      </c>
      <c r="K680" t="s">
        <v>51</v>
      </c>
      <c r="L680" s="1">
        <v>44871</v>
      </c>
      <c r="M680" t="s">
        <v>97</v>
      </c>
      <c r="N680" t="s">
        <v>41</v>
      </c>
      <c r="O680">
        <v>14306.457</v>
      </c>
      <c r="P680">
        <v>1300.587</v>
      </c>
      <c r="Q680">
        <v>0.38</v>
      </c>
    </row>
    <row r="681" spans="1:17">
      <c r="A681" t="s">
        <v>24</v>
      </c>
      <c r="B681" t="s">
        <v>29</v>
      </c>
      <c r="C681" t="s">
        <v>35</v>
      </c>
      <c r="D681" t="s">
        <v>36</v>
      </c>
      <c r="E681">
        <v>0.1</v>
      </c>
      <c r="F681">
        <v>15000</v>
      </c>
      <c r="G681">
        <v>6.36</v>
      </c>
      <c r="H681">
        <v>39242</v>
      </c>
      <c r="I681">
        <v>117756</v>
      </c>
      <c r="J681">
        <v>3</v>
      </c>
      <c r="K681" t="s">
        <v>51</v>
      </c>
      <c r="L681" s="1">
        <v>44917</v>
      </c>
      <c r="M681" t="s">
        <v>101</v>
      </c>
      <c r="N681" t="s">
        <v>63</v>
      </c>
      <c r="O681">
        <v>16500</v>
      </c>
      <c r="P681">
        <v>1500</v>
      </c>
      <c r="Q681">
        <v>0.38</v>
      </c>
    </row>
    <row r="682" spans="1:17">
      <c r="A682" t="s">
        <v>39</v>
      </c>
      <c r="B682" t="s">
        <v>34</v>
      </c>
      <c r="C682" t="s">
        <v>30</v>
      </c>
      <c r="D682" t="s">
        <v>20</v>
      </c>
      <c r="E682">
        <v>7.0000000000000007E-2</v>
      </c>
      <c r="F682">
        <v>6347.64</v>
      </c>
      <c r="G682">
        <v>1.55</v>
      </c>
      <c r="H682">
        <v>16437</v>
      </c>
      <c r="I682">
        <v>50207</v>
      </c>
      <c r="J682">
        <v>5</v>
      </c>
      <c r="K682" t="s">
        <v>46</v>
      </c>
      <c r="L682" s="1">
        <v>44728</v>
      </c>
      <c r="M682" t="s">
        <v>88</v>
      </c>
      <c r="N682" t="s">
        <v>69</v>
      </c>
      <c r="O682">
        <v>6982.4040000000005</v>
      </c>
      <c r="P682">
        <v>634.76400000000103</v>
      </c>
      <c r="Q682">
        <v>0.39</v>
      </c>
    </row>
    <row r="683" spans="1:17">
      <c r="A683" t="s">
        <v>17</v>
      </c>
      <c r="B683" t="s">
        <v>18</v>
      </c>
      <c r="C683" t="s">
        <v>35</v>
      </c>
      <c r="D683" t="s">
        <v>36</v>
      </c>
      <c r="E683">
        <v>0.02</v>
      </c>
      <c r="F683">
        <v>15000</v>
      </c>
      <c r="G683">
        <v>4.47</v>
      </c>
      <c r="H683">
        <v>39120</v>
      </c>
      <c r="I683">
        <v>117393</v>
      </c>
      <c r="J683">
        <v>3</v>
      </c>
      <c r="K683" t="s">
        <v>53</v>
      </c>
      <c r="L683" s="1">
        <v>44751</v>
      </c>
      <c r="M683" t="s">
        <v>102</v>
      </c>
      <c r="N683" t="s">
        <v>23</v>
      </c>
      <c r="O683">
        <v>16500</v>
      </c>
      <c r="P683">
        <v>1500</v>
      </c>
      <c r="Q683">
        <v>0.38</v>
      </c>
    </row>
    <row r="684" spans="1:17">
      <c r="A684" t="s">
        <v>17</v>
      </c>
      <c r="B684" t="s">
        <v>34</v>
      </c>
      <c r="C684" t="s">
        <v>19</v>
      </c>
      <c r="D684" t="s">
        <v>36</v>
      </c>
      <c r="E684">
        <v>0.06</v>
      </c>
      <c r="F684">
        <v>2401.21</v>
      </c>
      <c r="G684">
        <v>4.91</v>
      </c>
      <c r="H684">
        <v>5871</v>
      </c>
      <c r="I684">
        <v>18910</v>
      </c>
      <c r="J684">
        <v>10</v>
      </c>
      <c r="K684" t="s">
        <v>53</v>
      </c>
      <c r="L684" s="1">
        <v>44779</v>
      </c>
      <c r="M684" t="s">
        <v>102</v>
      </c>
      <c r="N684" t="s">
        <v>32</v>
      </c>
      <c r="O684">
        <v>2641.3310000000001</v>
      </c>
      <c r="P684">
        <v>240.12100000000001</v>
      </c>
      <c r="Q684">
        <v>0.41</v>
      </c>
    </row>
    <row r="685" spans="1:17">
      <c r="A685" t="s">
        <v>17</v>
      </c>
      <c r="B685" t="s">
        <v>29</v>
      </c>
      <c r="C685" t="s">
        <v>40</v>
      </c>
      <c r="D685" t="s">
        <v>42</v>
      </c>
      <c r="E685">
        <v>7.0000000000000007E-2</v>
      </c>
      <c r="F685">
        <v>10386.67</v>
      </c>
      <c r="G685">
        <v>0.931273243721224</v>
      </c>
      <c r="H685">
        <v>16093</v>
      </c>
      <c r="I685">
        <v>53385</v>
      </c>
      <c r="J685">
        <v>1</v>
      </c>
      <c r="K685" t="s">
        <v>21</v>
      </c>
      <c r="L685" s="1">
        <v>44701</v>
      </c>
      <c r="M685" t="s">
        <v>77</v>
      </c>
      <c r="N685" t="s">
        <v>44</v>
      </c>
      <c r="O685">
        <v>11425.337</v>
      </c>
      <c r="P685">
        <v>1038.6669999999999</v>
      </c>
      <c r="Q685">
        <v>0.65</v>
      </c>
    </row>
    <row r="686" spans="1:17">
      <c r="A686" t="s">
        <v>45</v>
      </c>
      <c r="B686" t="s">
        <v>29</v>
      </c>
      <c r="C686" t="s">
        <v>19</v>
      </c>
      <c r="D686" t="s">
        <v>20</v>
      </c>
      <c r="E686">
        <v>0.15</v>
      </c>
      <c r="F686">
        <v>1031.7</v>
      </c>
      <c r="G686">
        <v>6.45</v>
      </c>
      <c r="H686">
        <v>2920</v>
      </c>
      <c r="I686">
        <v>10170</v>
      </c>
      <c r="J686">
        <v>5</v>
      </c>
      <c r="K686" t="s">
        <v>37</v>
      </c>
      <c r="L686" s="1">
        <v>44899</v>
      </c>
      <c r="M686" t="s">
        <v>91</v>
      </c>
      <c r="N686" t="s">
        <v>63</v>
      </c>
      <c r="O686">
        <v>1134.8699999999999</v>
      </c>
      <c r="P686">
        <v>103.17</v>
      </c>
      <c r="Q686">
        <v>0.35</v>
      </c>
    </row>
    <row r="687" spans="1:17">
      <c r="A687" t="s">
        <v>24</v>
      </c>
      <c r="B687" t="s">
        <v>29</v>
      </c>
      <c r="C687" t="s">
        <v>35</v>
      </c>
      <c r="D687" t="s">
        <v>42</v>
      </c>
      <c r="E687">
        <v>0.11</v>
      </c>
      <c r="F687">
        <v>11583.37</v>
      </c>
      <c r="G687">
        <v>1.0742710546573</v>
      </c>
      <c r="H687">
        <v>18013</v>
      </c>
      <c r="I687">
        <v>59634</v>
      </c>
      <c r="J687">
        <v>1</v>
      </c>
      <c r="K687" t="s">
        <v>46</v>
      </c>
      <c r="L687" s="1">
        <v>44824</v>
      </c>
      <c r="M687" t="s">
        <v>70</v>
      </c>
      <c r="N687" t="s">
        <v>65</v>
      </c>
      <c r="O687">
        <v>12741.707</v>
      </c>
      <c r="P687">
        <v>1158.337</v>
      </c>
      <c r="Q687">
        <v>0.64</v>
      </c>
    </row>
    <row r="688" spans="1:17">
      <c r="A688" t="s">
        <v>39</v>
      </c>
      <c r="B688" t="s">
        <v>18</v>
      </c>
      <c r="C688" t="s">
        <v>19</v>
      </c>
      <c r="D688" t="s">
        <v>50</v>
      </c>
      <c r="E688">
        <v>0.12</v>
      </c>
      <c r="F688">
        <v>2915.13</v>
      </c>
      <c r="G688">
        <v>6.52</v>
      </c>
      <c r="H688">
        <v>7156</v>
      </c>
      <c r="I688">
        <v>22718</v>
      </c>
      <c r="J688">
        <v>9</v>
      </c>
      <c r="K688" t="s">
        <v>51</v>
      </c>
      <c r="L688" s="1">
        <v>44820</v>
      </c>
      <c r="M688" t="s">
        <v>101</v>
      </c>
      <c r="N688" t="s">
        <v>65</v>
      </c>
      <c r="O688">
        <v>3206.643</v>
      </c>
      <c r="P688">
        <v>291.51299999999998</v>
      </c>
      <c r="Q688">
        <v>0.41</v>
      </c>
    </row>
    <row r="689" spans="1:17">
      <c r="A689" t="s">
        <v>45</v>
      </c>
      <c r="B689" t="s">
        <v>29</v>
      </c>
      <c r="C689" t="s">
        <v>30</v>
      </c>
      <c r="D689" t="s">
        <v>42</v>
      </c>
      <c r="E689">
        <v>0.08</v>
      </c>
      <c r="F689">
        <v>5284.87</v>
      </c>
      <c r="G689">
        <v>0.37715672634391201</v>
      </c>
      <c r="H689">
        <v>7959</v>
      </c>
      <c r="I689">
        <v>26898</v>
      </c>
      <c r="J689">
        <v>1</v>
      </c>
      <c r="K689" t="s">
        <v>53</v>
      </c>
      <c r="L689" s="1">
        <v>44731</v>
      </c>
      <c r="M689" t="s">
        <v>84</v>
      </c>
      <c r="N689" t="s">
        <v>69</v>
      </c>
      <c r="O689">
        <v>5813.357</v>
      </c>
      <c r="P689">
        <v>528.48699999999997</v>
      </c>
      <c r="Q689">
        <v>0.66</v>
      </c>
    </row>
    <row r="690" spans="1:17">
      <c r="A690" t="s">
        <v>67</v>
      </c>
      <c r="B690" t="s">
        <v>34</v>
      </c>
      <c r="C690" t="s">
        <v>30</v>
      </c>
      <c r="D690" t="s">
        <v>36</v>
      </c>
      <c r="E690">
        <v>0.05</v>
      </c>
      <c r="F690">
        <v>7615.92</v>
      </c>
      <c r="G690">
        <v>1.37</v>
      </c>
      <c r="H690">
        <v>19858</v>
      </c>
      <c r="I690">
        <v>60340</v>
      </c>
      <c r="J690">
        <v>2</v>
      </c>
      <c r="K690" t="s">
        <v>37</v>
      </c>
      <c r="L690" s="1">
        <v>44756</v>
      </c>
      <c r="M690" t="s">
        <v>56</v>
      </c>
      <c r="N690" t="s">
        <v>23</v>
      </c>
      <c r="O690">
        <v>8377.5120000000006</v>
      </c>
      <c r="P690">
        <v>761.59199999999998</v>
      </c>
      <c r="Q690">
        <v>0.38</v>
      </c>
    </row>
    <row r="691" spans="1:17">
      <c r="A691" t="s">
        <v>28</v>
      </c>
      <c r="B691" t="s">
        <v>29</v>
      </c>
      <c r="C691" t="s">
        <v>19</v>
      </c>
      <c r="D691" t="s">
        <v>50</v>
      </c>
      <c r="E691">
        <v>0.08</v>
      </c>
      <c r="F691">
        <v>500</v>
      </c>
      <c r="G691">
        <v>5.39</v>
      </c>
      <c r="H691">
        <v>506</v>
      </c>
      <c r="I691">
        <v>3019</v>
      </c>
      <c r="J691">
        <v>9</v>
      </c>
      <c r="K691" t="s">
        <v>37</v>
      </c>
      <c r="L691" s="1">
        <v>44572</v>
      </c>
      <c r="M691" t="s">
        <v>100</v>
      </c>
      <c r="N691" t="s">
        <v>27</v>
      </c>
      <c r="O691">
        <v>550</v>
      </c>
      <c r="P691">
        <v>50</v>
      </c>
      <c r="Q691">
        <v>0.99</v>
      </c>
    </row>
    <row r="692" spans="1:17">
      <c r="A692" t="s">
        <v>24</v>
      </c>
      <c r="B692" t="s">
        <v>25</v>
      </c>
      <c r="C692" t="s">
        <v>35</v>
      </c>
      <c r="D692" t="s">
        <v>20</v>
      </c>
      <c r="E692">
        <v>0.03</v>
      </c>
      <c r="F692">
        <v>14643.9</v>
      </c>
      <c r="G692">
        <v>1.58</v>
      </c>
      <c r="H692">
        <v>37880</v>
      </c>
      <c r="I692">
        <v>113723</v>
      </c>
      <c r="J692">
        <v>10</v>
      </c>
      <c r="K692" t="s">
        <v>21</v>
      </c>
      <c r="L692" s="1">
        <v>44767</v>
      </c>
      <c r="M692" t="s">
        <v>43</v>
      </c>
      <c r="N692" t="s">
        <v>23</v>
      </c>
      <c r="O692">
        <v>16108.29</v>
      </c>
      <c r="P692">
        <v>1464.39</v>
      </c>
      <c r="Q692">
        <v>0.39</v>
      </c>
    </row>
    <row r="693" spans="1:17">
      <c r="A693" t="s">
        <v>55</v>
      </c>
      <c r="B693" t="s">
        <v>18</v>
      </c>
      <c r="C693" t="s">
        <v>30</v>
      </c>
      <c r="D693" t="s">
        <v>50</v>
      </c>
      <c r="E693">
        <v>0.08</v>
      </c>
      <c r="F693">
        <v>7013.72</v>
      </c>
      <c r="G693">
        <v>2.96</v>
      </c>
      <c r="H693">
        <v>18236</v>
      </c>
      <c r="I693">
        <v>55535</v>
      </c>
      <c r="J693">
        <v>5</v>
      </c>
      <c r="K693" t="s">
        <v>37</v>
      </c>
      <c r="L693" s="1">
        <v>44573</v>
      </c>
      <c r="M693" t="s">
        <v>74</v>
      </c>
      <c r="N693" t="s">
        <v>27</v>
      </c>
      <c r="O693">
        <v>7715.0919999999996</v>
      </c>
      <c r="P693">
        <v>701.37199999999996</v>
      </c>
      <c r="Q693">
        <v>0.38</v>
      </c>
    </row>
    <row r="694" spans="1:17">
      <c r="A694" t="s">
        <v>55</v>
      </c>
      <c r="B694" t="s">
        <v>29</v>
      </c>
      <c r="C694" t="s">
        <v>30</v>
      </c>
      <c r="D694" t="s">
        <v>42</v>
      </c>
      <c r="E694">
        <v>0.08</v>
      </c>
      <c r="F694">
        <v>5284.22</v>
      </c>
      <c r="G694">
        <v>0.89731126362390501</v>
      </c>
      <c r="H694">
        <v>7958</v>
      </c>
      <c r="I694">
        <v>26894</v>
      </c>
      <c r="J694">
        <v>1</v>
      </c>
      <c r="K694" t="s">
        <v>46</v>
      </c>
      <c r="L694" s="1">
        <v>44706</v>
      </c>
      <c r="M694" t="s">
        <v>96</v>
      </c>
      <c r="N694" t="s">
        <v>44</v>
      </c>
      <c r="O694">
        <v>5812.6419999999998</v>
      </c>
      <c r="P694">
        <v>528.42200000000003</v>
      </c>
      <c r="Q694">
        <v>0.66</v>
      </c>
    </row>
    <row r="695" spans="1:17">
      <c r="A695" t="s">
        <v>49</v>
      </c>
      <c r="B695" t="s">
        <v>29</v>
      </c>
      <c r="C695" t="s">
        <v>30</v>
      </c>
      <c r="D695" t="s">
        <v>36</v>
      </c>
      <c r="E695">
        <v>0.01</v>
      </c>
      <c r="F695">
        <v>5283.37</v>
      </c>
      <c r="G695">
        <v>4.5</v>
      </c>
      <c r="H695">
        <v>13547</v>
      </c>
      <c r="I695">
        <v>41647</v>
      </c>
      <c r="J695">
        <v>10</v>
      </c>
      <c r="K695" t="s">
        <v>46</v>
      </c>
      <c r="L695" s="1">
        <v>44817</v>
      </c>
      <c r="M695" t="s">
        <v>93</v>
      </c>
      <c r="N695" t="s">
        <v>65</v>
      </c>
      <c r="O695">
        <v>5811.7070000000003</v>
      </c>
      <c r="P695">
        <v>528.33699999999999</v>
      </c>
      <c r="Q695">
        <v>0.39</v>
      </c>
    </row>
    <row r="696" spans="1:17">
      <c r="A696" t="s">
        <v>24</v>
      </c>
      <c r="B696" t="s">
        <v>25</v>
      </c>
      <c r="C696" t="s">
        <v>40</v>
      </c>
      <c r="D696" t="s">
        <v>36</v>
      </c>
      <c r="E696">
        <v>0.02</v>
      </c>
      <c r="F696">
        <v>8009.47</v>
      </c>
      <c r="G696">
        <v>7.89</v>
      </c>
      <c r="H696">
        <v>20941</v>
      </c>
      <c r="I696">
        <v>63548</v>
      </c>
      <c r="J696">
        <v>1</v>
      </c>
      <c r="K696" t="s">
        <v>21</v>
      </c>
      <c r="L696" s="1">
        <v>44922</v>
      </c>
      <c r="M696" t="s">
        <v>48</v>
      </c>
      <c r="N696" t="s">
        <v>63</v>
      </c>
      <c r="O696">
        <v>8810.4169999999995</v>
      </c>
      <c r="P696">
        <v>800.94700000000103</v>
      </c>
      <c r="Q696">
        <v>0.38</v>
      </c>
    </row>
    <row r="697" spans="1:17">
      <c r="A697" t="s">
        <v>39</v>
      </c>
      <c r="B697" t="s">
        <v>25</v>
      </c>
      <c r="C697" t="s">
        <v>35</v>
      </c>
      <c r="D697" t="s">
        <v>50</v>
      </c>
      <c r="E697">
        <v>7.0000000000000007E-2</v>
      </c>
      <c r="F697">
        <v>12836.85</v>
      </c>
      <c r="G697">
        <v>2.83</v>
      </c>
      <c r="H697">
        <v>33968</v>
      </c>
      <c r="I697">
        <v>102134</v>
      </c>
      <c r="J697">
        <v>9</v>
      </c>
      <c r="K697" t="s">
        <v>21</v>
      </c>
      <c r="L697" s="1">
        <v>44648</v>
      </c>
      <c r="M697" t="s">
        <v>71</v>
      </c>
      <c r="N697" t="s">
        <v>81</v>
      </c>
      <c r="O697">
        <v>14120.535</v>
      </c>
      <c r="P697">
        <v>1283.6849999999999</v>
      </c>
      <c r="Q697">
        <v>0.38</v>
      </c>
    </row>
    <row r="698" spans="1:17">
      <c r="A698" t="s">
        <v>49</v>
      </c>
      <c r="B698" t="s">
        <v>34</v>
      </c>
      <c r="C698" t="s">
        <v>35</v>
      </c>
      <c r="D698" t="s">
        <v>36</v>
      </c>
      <c r="E698">
        <v>0.02</v>
      </c>
      <c r="F698">
        <v>15000</v>
      </c>
      <c r="G698">
        <v>5.35</v>
      </c>
      <c r="H698">
        <v>38906</v>
      </c>
      <c r="I698">
        <v>116761</v>
      </c>
      <c r="J698">
        <v>5</v>
      </c>
      <c r="K698" t="s">
        <v>37</v>
      </c>
      <c r="L698" s="1">
        <v>44607</v>
      </c>
      <c r="M698" t="s">
        <v>94</v>
      </c>
      <c r="N698" t="s">
        <v>60</v>
      </c>
      <c r="O698">
        <v>16500</v>
      </c>
      <c r="P698">
        <v>1500</v>
      </c>
      <c r="Q698">
        <v>0.39</v>
      </c>
    </row>
    <row r="699" spans="1:17">
      <c r="A699" t="s">
        <v>24</v>
      </c>
      <c r="B699" t="s">
        <v>25</v>
      </c>
      <c r="C699" t="s">
        <v>30</v>
      </c>
      <c r="D699" t="s">
        <v>50</v>
      </c>
      <c r="E699">
        <v>7.0000000000000007E-2</v>
      </c>
      <c r="F699">
        <v>5498.02</v>
      </c>
      <c r="G699">
        <v>5.48</v>
      </c>
      <c r="H699">
        <v>14127</v>
      </c>
      <c r="I699">
        <v>43366</v>
      </c>
      <c r="J699">
        <v>8</v>
      </c>
      <c r="K699" t="s">
        <v>51</v>
      </c>
      <c r="L699" s="1">
        <v>44900</v>
      </c>
      <c r="M699" t="s">
        <v>62</v>
      </c>
      <c r="N699" t="s">
        <v>63</v>
      </c>
      <c r="O699">
        <v>6047.8220000000001</v>
      </c>
      <c r="P699">
        <v>549.80200000000002</v>
      </c>
      <c r="Q699">
        <v>0.39</v>
      </c>
    </row>
    <row r="700" spans="1:17">
      <c r="A700" t="s">
        <v>55</v>
      </c>
      <c r="B700" t="s">
        <v>25</v>
      </c>
      <c r="C700" t="s">
        <v>30</v>
      </c>
      <c r="D700" t="s">
        <v>20</v>
      </c>
      <c r="E700">
        <v>0.06</v>
      </c>
      <c r="F700">
        <v>6601.75</v>
      </c>
      <c r="G700">
        <v>1.58</v>
      </c>
      <c r="H700">
        <v>17113</v>
      </c>
      <c r="I700">
        <v>52208</v>
      </c>
      <c r="J700">
        <v>9</v>
      </c>
      <c r="K700" t="s">
        <v>53</v>
      </c>
      <c r="L700" s="1">
        <v>44593</v>
      </c>
      <c r="M700" t="s">
        <v>84</v>
      </c>
      <c r="N700" t="s">
        <v>60</v>
      </c>
      <c r="O700">
        <v>7261.9250000000002</v>
      </c>
      <c r="P700">
        <v>660.17499999999995</v>
      </c>
      <c r="Q700">
        <v>0.39</v>
      </c>
    </row>
    <row r="701" spans="1:17">
      <c r="A701" t="s">
        <v>55</v>
      </c>
      <c r="B701" t="s">
        <v>25</v>
      </c>
      <c r="C701" t="s">
        <v>19</v>
      </c>
      <c r="D701" t="s">
        <v>42</v>
      </c>
      <c r="E701">
        <v>0.14000000000000001</v>
      </c>
      <c r="F701">
        <v>3202.32</v>
      </c>
      <c r="G701">
        <v>0.22879649749772801</v>
      </c>
      <c r="H701">
        <v>4639</v>
      </c>
      <c r="I701">
        <v>16086</v>
      </c>
      <c r="J701">
        <v>1</v>
      </c>
      <c r="K701" t="s">
        <v>53</v>
      </c>
      <c r="L701" s="1">
        <v>44597</v>
      </c>
      <c r="M701" t="s">
        <v>83</v>
      </c>
      <c r="N701" t="s">
        <v>60</v>
      </c>
      <c r="O701">
        <v>3522.5520000000001</v>
      </c>
      <c r="P701">
        <v>320.23200000000003</v>
      </c>
      <c r="Q701">
        <v>0.69</v>
      </c>
    </row>
    <row r="702" spans="1:17">
      <c r="A702" t="s">
        <v>33</v>
      </c>
      <c r="B702" t="s">
        <v>29</v>
      </c>
      <c r="C702" t="s">
        <v>35</v>
      </c>
      <c r="D702" t="s">
        <v>42</v>
      </c>
      <c r="E702">
        <v>0.02</v>
      </c>
      <c r="F702">
        <v>11753.79</v>
      </c>
      <c r="G702">
        <v>5.3624179101030102E-2</v>
      </c>
      <c r="H702">
        <v>18281</v>
      </c>
      <c r="I702">
        <v>60506</v>
      </c>
      <c r="J702">
        <v>1</v>
      </c>
      <c r="K702" t="s">
        <v>53</v>
      </c>
      <c r="L702" s="1">
        <v>44653</v>
      </c>
      <c r="M702" t="s">
        <v>54</v>
      </c>
      <c r="N702" t="s">
        <v>73</v>
      </c>
      <c r="O702">
        <v>12929.169</v>
      </c>
      <c r="P702">
        <v>1175.3789999999999</v>
      </c>
      <c r="Q702">
        <v>0.64</v>
      </c>
    </row>
    <row r="703" spans="1:17">
      <c r="A703" t="s">
        <v>24</v>
      </c>
      <c r="B703" t="s">
        <v>34</v>
      </c>
      <c r="C703" t="s">
        <v>40</v>
      </c>
      <c r="D703" t="s">
        <v>50</v>
      </c>
      <c r="E703">
        <v>0.1</v>
      </c>
      <c r="F703">
        <v>9017.4599999999991</v>
      </c>
      <c r="G703">
        <v>2.9</v>
      </c>
      <c r="H703">
        <v>23676</v>
      </c>
      <c r="I703">
        <v>71649</v>
      </c>
      <c r="J703">
        <v>5</v>
      </c>
      <c r="K703" t="s">
        <v>53</v>
      </c>
      <c r="L703" s="1">
        <v>44871</v>
      </c>
      <c r="M703" t="s">
        <v>82</v>
      </c>
      <c r="N703" t="s">
        <v>41</v>
      </c>
      <c r="O703">
        <v>9919.2060000000001</v>
      </c>
      <c r="P703">
        <v>901.746000000001</v>
      </c>
      <c r="Q703">
        <v>0.38</v>
      </c>
    </row>
    <row r="704" spans="1:17">
      <c r="A704" t="s">
        <v>55</v>
      </c>
      <c r="B704" t="s">
        <v>29</v>
      </c>
      <c r="C704" t="s">
        <v>35</v>
      </c>
      <c r="D704" t="s">
        <v>50</v>
      </c>
      <c r="E704">
        <v>0.14000000000000001</v>
      </c>
      <c r="F704">
        <v>15000</v>
      </c>
      <c r="G704">
        <v>5.22</v>
      </c>
      <c r="H704">
        <v>39681</v>
      </c>
      <c r="I704">
        <v>119056</v>
      </c>
      <c r="J704">
        <v>7</v>
      </c>
      <c r="K704" t="s">
        <v>53</v>
      </c>
      <c r="L704" s="1">
        <v>44844</v>
      </c>
      <c r="M704" t="s">
        <v>58</v>
      </c>
      <c r="N704" t="s">
        <v>57</v>
      </c>
      <c r="O704">
        <v>16500</v>
      </c>
      <c r="P704">
        <v>1500</v>
      </c>
      <c r="Q704">
        <v>0.38</v>
      </c>
    </row>
    <row r="705" spans="1:17">
      <c r="A705" t="s">
        <v>55</v>
      </c>
      <c r="B705" t="s">
        <v>25</v>
      </c>
      <c r="C705" t="s">
        <v>19</v>
      </c>
      <c r="D705" t="s">
        <v>42</v>
      </c>
      <c r="E705">
        <v>0.02</v>
      </c>
      <c r="F705">
        <v>1127.8499999999999</v>
      </c>
      <c r="G705">
        <v>0.71498905468040197</v>
      </c>
      <c r="H705">
        <v>1816</v>
      </c>
      <c r="I705">
        <v>6897</v>
      </c>
      <c r="J705">
        <v>1</v>
      </c>
      <c r="K705" t="s">
        <v>21</v>
      </c>
      <c r="L705" s="1">
        <v>44728</v>
      </c>
      <c r="M705" t="s">
        <v>103</v>
      </c>
      <c r="N705" t="s">
        <v>69</v>
      </c>
      <c r="O705">
        <v>1240.635</v>
      </c>
      <c r="P705">
        <v>112.785</v>
      </c>
      <c r="Q705">
        <v>0.62</v>
      </c>
    </row>
    <row r="706" spans="1:17">
      <c r="A706" t="s">
        <v>45</v>
      </c>
      <c r="B706" t="s">
        <v>29</v>
      </c>
      <c r="C706" t="s">
        <v>35</v>
      </c>
      <c r="D706" t="s">
        <v>50</v>
      </c>
      <c r="E706">
        <v>0.04</v>
      </c>
      <c r="F706">
        <v>12433.69</v>
      </c>
      <c r="G706">
        <v>4.1100000000000003</v>
      </c>
      <c r="H706">
        <v>32914</v>
      </c>
      <c r="I706">
        <v>99013</v>
      </c>
      <c r="J706">
        <v>3</v>
      </c>
      <c r="K706" t="s">
        <v>37</v>
      </c>
      <c r="L706" s="1">
        <v>44635</v>
      </c>
      <c r="M706" t="s">
        <v>90</v>
      </c>
      <c r="N706" t="s">
        <v>81</v>
      </c>
      <c r="O706">
        <v>13677.058999999999</v>
      </c>
      <c r="P706">
        <v>1243.3689999999999</v>
      </c>
      <c r="Q706">
        <v>0.38</v>
      </c>
    </row>
    <row r="707" spans="1:17">
      <c r="A707" t="s">
        <v>28</v>
      </c>
      <c r="B707" t="s">
        <v>25</v>
      </c>
      <c r="C707" t="s">
        <v>40</v>
      </c>
      <c r="D707" t="s">
        <v>20</v>
      </c>
      <c r="E707">
        <v>0.15</v>
      </c>
      <c r="F707">
        <v>10149.39</v>
      </c>
      <c r="G707">
        <v>3.3</v>
      </c>
      <c r="H707">
        <v>26766</v>
      </c>
      <c r="I707">
        <v>80802</v>
      </c>
      <c r="J707">
        <v>2</v>
      </c>
      <c r="K707" t="s">
        <v>51</v>
      </c>
      <c r="L707" s="1">
        <v>44915</v>
      </c>
      <c r="M707" t="s">
        <v>52</v>
      </c>
      <c r="N707" t="s">
        <v>63</v>
      </c>
      <c r="O707">
        <v>11164.329</v>
      </c>
      <c r="P707">
        <v>1014.939</v>
      </c>
      <c r="Q707">
        <v>0.38</v>
      </c>
    </row>
    <row r="708" spans="1:17">
      <c r="A708" t="s">
        <v>17</v>
      </c>
      <c r="B708" t="s">
        <v>34</v>
      </c>
      <c r="C708" t="s">
        <v>40</v>
      </c>
      <c r="D708" t="s">
        <v>42</v>
      </c>
      <c r="E708">
        <v>0.04</v>
      </c>
      <c r="F708">
        <v>9523.52</v>
      </c>
      <c r="G708">
        <v>0.50942970145978606</v>
      </c>
      <c r="H708">
        <v>14709</v>
      </c>
      <c r="I708">
        <v>48877</v>
      </c>
      <c r="J708">
        <v>1</v>
      </c>
      <c r="K708" t="s">
        <v>53</v>
      </c>
      <c r="L708" s="1">
        <v>44907</v>
      </c>
      <c r="M708" t="s">
        <v>54</v>
      </c>
      <c r="N708" t="s">
        <v>63</v>
      </c>
      <c r="O708">
        <v>10475.871999999999</v>
      </c>
      <c r="P708">
        <v>952.35199999999998</v>
      </c>
      <c r="Q708">
        <v>0.65</v>
      </c>
    </row>
    <row r="709" spans="1:17">
      <c r="A709" t="s">
        <v>24</v>
      </c>
      <c r="B709" t="s">
        <v>25</v>
      </c>
      <c r="C709" t="s">
        <v>35</v>
      </c>
      <c r="D709" t="s">
        <v>20</v>
      </c>
      <c r="E709">
        <v>0.09</v>
      </c>
      <c r="F709">
        <v>11595.6</v>
      </c>
      <c r="G709">
        <v>1.1499999999999999</v>
      </c>
      <c r="H709">
        <v>30704</v>
      </c>
      <c r="I709">
        <v>92467</v>
      </c>
      <c r="J709">
        <v>3</v>
      </c>
      <c r="K709" t="s">
        <v>46</v>
      </c>
      <c r="L709" s="1">
        <v>44800</v>
      </c>
      <c r="M709" t="s">
        <v>95</v>
      </c>
      <c r="N709" t="s">
        <v>32</v>
      </c>
      <c r="O709">
        <v>12755.16</v>
      </c>
      <c r="P709">
        <v>1159.56</v>
      </c>
      <c r="Q709">
        <v>0.38</v>
      </c>
    </row>
    <row r="710" spans="1:17">
      <c r="A710" t="s">
        <v>33</v>
      </c>
      <c r="B710" t="s">
        <v>34</v>
      </c>
      <c r="C710" t="s">
        <v>40</v>
      </c>
      <c r="D710" t="s">
        <v>20</v>
      </c>
      <c r="E710">
        <v>0.11</v>
      </c>
      <c r="F710">
        <v>8157.7</v>
      </c>
      <c r="G710">
        <v>4.6399999999999997</v>
      </c>
      <c r="H710">
        <v>21348</v>
      </c>
      <c r="I710">
        <v>64753</v>
      </c>
      <c r="J710">
        <v>5</v>
      </c>
      <c r="K710" t="s">
        <v>53</v>
      </c>
      <c r="L710" s="1">
        <v>44794</v>
      </c>
      <c r="M710" t="s">
        <v>54</v>
      </c>
      <c r="N710" t="s">
        <v>32</v>
      </c>
      <c r="O710">
        <v>8973.4699999999993</v>
      </c>
      <c r="P710">
        <v>815.770000000001</v>
      </c>
      <c r="Q710">
        <v>0.38</v>
      </c>
    </row>
    <row r="711" spans="1:17">
      <c r="A711" t="s">
        <v>55</v>
      </c>
      <c r="B711" t="s">
        <v>29</v>
      </c>
      <c r="C711" t="s">
        <v>40</v>
      </c>
      <c r="D711" t="s">
        <v>42</v>
      </c>
      <c r="E711">
        <v>0.05</v>
      </c>
      <c r="F711">
        <v>9174.11</v>
      </c>
      <c r="G711">
        <v>0.46653035817896199</v>
      </c>
      <c r="H711">
        <v>14155</v>
      </c>
      <c r="I711">
        <v>47073</v>
      </c>
      <c r="J711">
        <v>1</v>
      </c>
      <c r="K711" t="s">
        <v>46</v>
      </c>
      <c r="L711" s="1">
        <v>44741</v>
      </c>
      <c r="M711" t="s">
        <v>87</v>
      </c>
      <c r="N711" t="s">
        <v>69</v>
      </c>
      <c r="O711">
        <v>10091.521000000001</v>
      </c>
      <c r="P711">
        <v>917.41099999999994</v>
      </c>
      <c r="Q711">
        <v>0.65</v>
      </c>
    </row>
    <row r="712" spans="1:17">
      <c r="A712" t="s">
        <v>55</v>
      </c>
      <c r="B712" t="s">
        <v>34</v>
      </c>
      <c r="C712" t="s">
        <v>30</v>
      </c>
      <c r="D712" t="s">
        <v>36</v>
      </c>
      <c r="E712">
        <v>0.02</v>
      </c>
      <c r="F712">
        <v>7412.2</v>
      </c>
      <c r="G712">
        <v>4.12</v>
      </c>
      <c r="H712">
        <v>19300</v>
      </c>
      <c r="I712">
        <v>58686</v>
      </c>
      <c r="J712">
        <v>8</v>
      </c>
      <c r="K712" t="s">
        <v>37</v>
      </c>
      <c r="L712" s="1">
        <v>44712</v>
      </c>
      <c r="M712" t="s">
        <v>56</v>
      </c>
      <c r="N712" t="s">
        <v>44</v>
      </c>
      <c r="O712">
        <v>8153.42</v>
      </c>
      <c r="P712">
        <v>741.22</v>
      </c>
      <c r="Q712">
        <v>0.38</v>
      </c>
    </row>
    <row r="713" spans="1:17">
      <c r="A713" t="s">
        <v>28</v>
      </c>
      <c r="B713" t="s">
        <v>18</v>
      </c>
      <c r="C713" t="s">
        <v>35</v>
      </c>
      <c r="D713" t="s">
        <v>20</v>
      </c>
      <c r="E713">
        <v>0.11</v>
      </c>
      <c r="F713">
        <v>13378.55</v>
      </c>
      <c r="G713">
        <v>4.95</v>
      </c>
      <c r="H713">
        <v>35296</v>
      </c>
      <c r="I713">
        <v>106069</v>
      </c>
      <c r="J713">
        <v>6</v>
      </c>
      <c r="K713" t="s">
        <v>37</v>
      </c>
      <c r="L713" s="1">
        <v>44730</v>
      </c>
      <c r="M713" t="s">
        <v>74</v>
      </c>
      <c r="N713" t="s">
        <v>69</v>
      </c>
      <c r="O713">
        <v>14716.405000000001</v>
      </c>
      <c r="P713">
        <v>1337.855</v>
      </c>
      <c r="Q713">
        <v>0.38</v>
      </c>
    </row>
    <row r="714" spans="1:17">
      <c r="A714" t="s">
        <v>24</v>
      </c>
      <c r="B714" t="s">
        <v>18</v>
      </c>
      <c r="C714" t="s">
        <v>19</v>
      </c>
      <c r="D714" t="s">
        <v>50</v>
      </c>
      <c r="E714">
        <v>0.05</v>
      </c>
      <c r="F714">
        <v>4068.82</v>
      </c>
      <c r="G714">
        <v>1.83</v>
      </c>
      <c r="H714">
        <v>10228</v>
      </c>
      <c r="I714">
        <v>31814</v>
      </c>
      <c r="J714">
        <v>9</v>
      </c>
      <c r="K714" t="s">
        <v>53</v>
      </c>
      <c r="L714" s="1">
        <v>44666</v>
      </c>
      <c r="M714" t="s">
        <v>68</v>
      </c>
      <c r="N714" t="s">
        <v>73</v>
      </c>
      <c r="O714">
        <v>4475.7020000000002</v>
      </c>
      <c r="P714">
        <v>406.88200000000001</v>
      </c>
      <c r="Q714">
        <v>0.4</v>
      </c>
    </row>
    <row r="715" spans="1:17">
      <c r="A715" t="s">
        <v>17</v>
      </c>
      <c r="B715" t="s">
        <v>34</v>
      </c>
      <c r="C715" t="s">
        <v>40</v>
      </c>
      <c r="D715" t="s">
        <v>36</v>
      </c>
      <c r="E715">
        <v>0.12</v>
      </c>
      <c r="F715">
        <v>9368.39</v>
      </c>
      <c r="G715">
        <v>1.06</v>
      </c>
      <c r="H715">
        <v>24612</v>
      </c>
      <c r="I715">
        <v>74420</v>
      </c>
      <c r="J715">
        <v>9</v>
      </c>
      <c r="K715" t="s">
        <v>51</v>
      </c>
      <c r="L715" s="1">
        <v>44782</v>
      </c>
      <c r="M715" t="s">
        <v>92</v>
      </c>
      <c r="N715" t="s">
        <v>32</v>
      </c>
      <c r="O715">
        <v>10305.228999999999</v>
      </c>
      <c r="P715">
        <v>936.83899999999903</v>
      </c>
      <c r="Q715">
        <v>0.38</v>
      </c>
    </row>
    <row r="716" spans="1:17">
      <c r="A716" t="s">
        <v>24</v>
      </c>
      <c r="B716" t="s">
        <v>34</v>
      </c>
      <c r="C716" t="s">
        <v>19</v>
      </c>
      <c r="D716" t="s">
        <v>20</v>
      </c>
      <c r="E716">
        <v>0.03</v>
      </c>
      <c r="F716">
        <v>1218.6600000000001</v>
      </c>
      <c r="G716">
        <v>7.84</v>
      </c>
      <c r="H716">
        <v>3260</v>
      </c>
      <c r="I716">
        <v>11175</v>
      </c>
      <c r="J716">
        <v>9</v>
      </c>
      <c r="K716" t="s">
        <v>53</v>
      </c>
      <c r="L716" s="1">
        <v>44626</v>
      </c>
      <c r="M716" t="s">
        <v>84</v>
      </c>
      <c r="N716" t="s">
        <v>81</v>
      </c>
      <c r="O716">
        <v>1340.5260000000001</v>
      </c>
      <c r="P716">
        <v>121.866</v>
      </c>
      <c r="Q716">
        <v>0.37</v>
      </c>
    </row>
    <row r="717" spans="1:17">
      <c r="A717" t="s">
        <v>45</v>
      </c>
      <c r="B717" t="s">
        <v>29</v>
      </c>
      <c r="C717" t="s">
        <v>40</v>
      </c>
      <c r="D717" t="s">
        <v>36</v>
      </c>
      <c r="E717">
        <v>0.03</v>
      </c>
      <c r="F717">
        <v>9684.14</v>
      </c>
      <c r="G717">
        <v>6.71</v>
      </c>
      <c r="H717">
        <v>25494</v>
      </c>
      <c r="I717">
        <v>77033</v>
      </c>
      <c r="J717">
        <v>6</v>
      </c>
      <c r="K717" t="s">
        <v>21</v>
      </c>
      <c r="L717" s="1">
        <v>44805</v>
      </c>
      <c r="M717" t="s">
        <v>80</v>
      </c>
      <c r="N717" t="s">
        <v>65</v>
      </c>
      <c r="O717">
        <v>10652.554</v>
      </c>
      <c r="P717">
        <v>968.41399999999999</v>
      </c>
      <c r="Q717">
        <v>0.38</v>
      </c>
    </row>
    <row r="718" spans="1:17">
      <c r="A718" t="s">
        <v>17</v>
      </c>
      <c r="B718" t="s">
        <v>18</v>
      </c>
      <c r="C718" t="s">
        <v>35</v>
      </c>
      <c r="D718" t="s">
        <v>42</v>
      </c>
      <c r="E718">
        <v>0.04</v>
      </c>
      <c r="F718">
        <v>15000</v>
      </c>
      <c r="G718">
        <v>3.39619800973191E-2</v>
      </c>
      <c r="H718">
        <v>23060</v>
      </c>
      <c r="I718">
        <v>76070</v>
      </c>
      <c r="J718">
        <v>1</v>
      </c>
      <c r="K718" t="s">
        <v>53</v>
      </c>
      <c r="L718" s="1">
        <v>44764</v>
      </c>
      <c r="M718" t="s">
        <v>66</v>
      </c>
      <c r="N718" t="s">
        <v>23</v>
      </c>
      <c r="O718">
        <v>16500</v>
      </c>
      <c r="P718">
        <v>1500</v>
      </c>
      <c r="Q718">
        <v>0.65</v>
      </c>
    </row>
    <row r="719" spans="1:17">
      <c r="A719" t="s">
        <v>24</v>
      </c>
      <c r="B719" t="s">
        <v>34</v>
      </c>
      <c r="C719" t="s">
        <v>30</v>
      </c>
      <c r="D719" t="s">
        <v>36</v>
      </c>
      <c r="E719">
        <v>0.12</v>
      </c>
      <c r="F719">
        <v>6816.94</v>
      </c>
      <c r="G719">
        <v>0.98</v>
      </c>
      <c r="H719">
        <v>17700</v>
      </c>
      <c r="I719">
        <v>53947</v>
      </c>
      <c r="J719">
        <v>4</v>
      </c>
      <c r="K719" t="s">
        <v>21</v>
      </c>
      <c r="L719" s="1">
        <v>44602</v>
      </c>
      <c r="M719" t="s">
        <v>77</v>
      </c>
      <c r="N719" t="s">
        <v>60</v>
      </c>
      <c r="O719">
        <v>7498.634</v>
      </c>
      <c r="P719">
        <v>681.69399999999996</v>
      </c>
      <c r="Q719">
        <v>0.39</v>
      </c>
    </row>
    <row r="720" spans="1:17">
      <c r="A720" t="s">
        <v>55</v>
      </c>
      <c r="B720" t="s">
        <v>29</v>
      </c>
      <c r="C720" t="s">
        <v>35</v>
      </c>
      <c r="D720" t="s">
        <v>20</v>
      </c>
      <c r="E720">
        <v>0.13</v>
      </c>
      <c r="F720">
        <v>12410.15</v>
      </c>
      <c r="G720">
        <v>7.39</v>
      </c>
      <c r="H720">
        <v>32855</v>
      </c>
      <c r="I720">
        <v>98838</v>
      </c>
      <c r="J720">
        <v>6</v>
      </c>
      <c r="K720" t="s">
        <v>37</v>
      </c>
      <c r="L720" s="1">
        <v>44800</v>
      </c>
      <c r="M720" t="s">
        <v>74</v>
      </c>
      <c r="N720" t="s">
        <v>32</v>
      </c>
      <c r="O720">
        <v>13651.165000000001</v>
      </c>
      <c r="P720">
        <v>1241.0150000000001</v>
      </c>
      <c r="Q720">
        <v>0.38</v>
      </c>
    </row>
    <row r="721" spans="1:17">
      <c r="A721" t="s">
        <v>33</v>
      </c>
      <c r="B721" t="s">
        <v>29</v>
      </c>
      <c r="C721" t="s">
        <v>35</v>
      </c>
      <c r="D721" t="s">
        <v>36</v>
      </c>
      <c r="E721">
        <v>0.13</v>
      </c>
      <c r="F721">
        <v>15000</v>
      </c>
      <c r="G721">
        <v>4.13</v>
      </c>
      <c r="H721">
        <v>38641</v>
      </c>
      <c r="I721">
        <v>115975</v>
      </c>
      <c r="J721">
        <v>7</v>
      </c>
      <c r="K721" t="s">
        <v>53</v>
      </c>
      <c r="L721" s="1">
        <v>44778</v>
      </c>
      <c r="M721" t="s">
        <v>102</v>
      </c>
      <c r="N721" t="s">
        <v>32</v>
      </c>
      <c r="O721">
        <v>16500</v>
      </c>
      <c r="P721">
        <v>1500</v>
      </c>
      <c r="Q721">
        <v>0.39</v>
      </c>
    </row>
    <row r="722" spans="1:17">
      <c r="A722" t="s">
        <v>28</v>
      </c>
      <c r="B722" t="s">
        <v>18</v>
      </c>
      <c r="C722" t="s">
        <v>19</v>
      </c>
      <c r="D722" t="s">
        <v>20</v>
      </c>
      <c r="E722">
        <v>0.03</v>
      </c>
      <c r="F722">
        <v>500</v>
      </c>
      <c r="G722">
        <v>2.56</v>
      </c>
      <c r="H722">
        <v>1475</v>
      </c>
      <c r="I722">
        <v>5890</v>
      </c>
      <c r="J722">
        <v>4</v>
      </c>
      <c r="K722" t="s">
        <v>51</v>
      </c>
      <c r="L722" s="1">
        <v>44837</v>
      </c>
      <c r="M722" t="s">
        <v>92</v>
      </c>
      <c r="N722" t="s">
        <v>57</v>
      </c>
      <c r="O722">
        <v>550</v>
      </c>
      <c r="P722">
        <v>50</v>
      </c>
      <c r="Q722">
        <v>0.34</v>
      </c>
    </row>
    <row r="723" spans="1:17">
      <c r="A723" t="s">
        <v>67</v>
      </c>
      <c r="B723" t="s">
        <v>34</v>
      </c>
      <c r="C723" t="s">
        <v>30</v>
      </c>
      <c r="D723" t="s">
        <v>42</v>
      </c>
      <c r="E723">
        <v>0.09</v>
      </c>
      <c r="F723">
        <v>4985.6400000000003</v>
      </c>
      <c r="G723">
        <v>1.1958191939529701</v>
      </c>
      <c r="H723">
        <v>7476</v>
      </c>
      <c r="I723">
        <v>25327</v>
      </c>
      <c r="J723">
        <v>1</v>
      </c>
      <c r="K723" t="s">
        <v>46</v>
      </c>
      <c r="L723" s="1">
        <v>44733</v>
      </c>
      <c r="M723" t="s">
        <v>98</v>
      </c>
      <c r="N723" t="s">
        <v>69</v>
      </c>
      <c r="O723">
        <v>5484.2039999999997</v>
      </c>
      <c r="P723">
        <v>498.56400000000002</v>
      </c>
      <c r="Q723">
        <v>0.67</v>
      </c>
    </row>
    <row r="724" spans="1:17">
      <c r="A724" t="s">
        <v>55</v>
      </c>
      <c r="B724" t="s">
        <v>25</v>
      </c>
      <c r="C724" t="s">
        <v>35</v>
      </c>
      <c r="D724" t="s">
        <v>42</v>
      </c>
      <c r="E724">
        <v>0.08</v>
      </c>
      <c r="F724">
        <v>13036.5</v>
      </c>
      <c r="G724">
        <v>0.41469365171463302</v>
      </c>
      <c r="H724">
        <v>20243</v>
      </c>
      <c r="I724">
        <v>66896</v>
      </c>
      <c r="J724">
        <v>1</v>
      </c>
      <c r="K724" t="s">
        <v>51</v>
      </c>
      <c r="L724" s="1">
        <v>44679</v>
      </c>
      <c r="M724" t="s">
        <v>72</v>
      </c>
      <c r="N724" t="s">
        <v>73</v>
      </c>
      <c r="O724">
        <v>14340.15</v>
      </c>
      <c r="P724">
        <v>1303.6500000000001</v>
      </c>
      <c r="Q724">
        <v>0.64</v>
      </c>
    </row>
    <row r="725" spans="1:17">
      <c r="A725" t="s">
        <v>28</v>
      </c>
      <c r="B725" t="s">
        <v>18</v>
      </c>
      <c r="C725" t="s">
        <v>30</v>
      </c>
      <c r="D725" t="s">
        <v>36</v>
      </c>
      <c r="E725">
        <v>0.12</v>
      </c>
      <c r="F725">
        <v>5300.77</v>
      </c>
      <c r="G725">
        <v>6.59</v>
      </c>
      <c r="H725">
        <v>13597</v>
      </c>
      <c r="I725">
        <v>41794</v>
      </c>
      <c r="J725">
        <v>4</v>
      </c>
      <c r="K725" t="s">
        <v>51</v>
      </c>
      <c r="L725" s="1">
        <v>44773</v>
      </c>
      <c r="M725" t="s">
        <v>52</v>
      </c>
      <c r="N725" t="s">
        <v>23</v>
      </c>
      <c r="O725">
        <v>5830.8469999999998</v>
      </c>
      <c r="P725">
        <v>530.077</v>
      </c>
      <c r="Q725">
        <v>0.39</v>
      </c>
    </row>
    <row r="726" spans="1:17">
      <c r="A726" t="s">
        <v>33</v>
      </c>
      <c r="B726" t="s">
        <v>25</v>
      </c>
      <c r="C726" t="s">
        <v>35</v>
      </c>
      <c r="D726" t="s">
        <v>50</v>
      </c>
      <c r="E726">
        <v>0.1</v>
      </c>
      <c r="F726">
        <v>11789.26</v>
      </c>
      <c r="G726">
        <v>3.88</v>
      </c>
      <c r="H726">
        <v>31223</v>
      </c>
      <c r="I726">
        <v>94002</v>
      </c>
      <c r="J726">
        <v>8</v>
      </c>
      <c r="K726" t="s">
        <v>53</v>
      </c>
      <c r="L726" s="1">
        <v>44803</v>
      </c>
      <c r="M726" t="s">
        <v>78</v>
      </c>
      <c r="N726" t="s">
        <v>32</v>
      </c>
      <c r="O726">
        <v>12968.186</v>
      </c>
      <c r="P726">
        <v>1178.9259999999999</v>
      </c>
      <c r="Q726">
        <v>0.38</v>
      </c>
    </row>
    <row r="727" spans="1:17">
      <c r="A727" t="s">
        <v>55</v>
      </c>
      <c r="B727" t="s">
        <v>29</v>
      </c>
      <c r="C727" t="s">
        <v>40</v>
      </c>
      <c r="D727" t="s">
        <v>20</v>
      </c>
      <c r="E727">
        <v>0.14000000000000001</v>
      </c>
      <c r="F727">
        <v>7913.72</v>
      </c>
      <c r="G727">
        <v>6.06</v>
      </c>
      <c r="H727">
        <v>20676</v>
      </c>
      <c r="I727">
        <v>62763</v>
      </c>
      <c r="J727">
        <v>8</v>
      </c>
      <c r="K727" t="s">
        <v>46</v>
      </c>
      <c r="L727" s="1">
        <v>44690</v>
      </c>
      <c r="M727" t="s">
        <v>47</v>
      </c>
      <c r="N727" t="s">
        <v>44</v>
      </c>
      <c r="O727">
        <v>8705.0920000000006</v>
      </c>
      <c r="P727">
        <v>791.37199999999996</v>
      </c>
      <c r="Q727">
        <v>0.38</v>
      </c>
    </row>
    <row r="728" spans="1:17">
      <c r="A728" t="s">
        <v>28</v>
      </c>
      <c r="B728" t="s">
        <v>18</v>
      </c>
      <c r="C728" t="s">
        <v>40</v>
      </c>
      <c r="D728" t="s">
        <v>20</v>
      </c>
      <c r="E728">
        <v>0.1</v>
      </c>
      <c r="F728">
        <v>10884.18</v>
      </c>
      <c r="G728">
        <v>2.4500000000000002</v>
      </c>
      <c r="H728">
        <v>28759</v>
      </c>
      <c r="I728">
        <v>86705</v>
      </c>
      <c r="J728">
        <v>2</v>
      </c>
      <c r="K728" t="s">
        <v>46</v>
      </c>
      <c r="L728" s="1">
        <v>44841</v>
      </c>
      <c r="M728" t="s">
        <v>95</v>
      </c>
      <c r="N728" t="s">
        <v>57</v>
      </c>
      <c r="O728">
        <v>11972.598</v>
      </c>
      <c r="P728">
        <v>1088.4179999999999</v>
      </c>
      <c r="Q728">
        <v>0.38</v>
      </c>
    </row>
    <row r="729" spans="1:17">
      <c r="A729" t="s">
        <v>28</v>
      </c>
      <c r="B729" t="s">
        <v>18</v>
      </c>
      <c r="C729" t="s">
        <v>30</v>
      </c>
      <c r="D729" t="s">
        <v>36</v>
      </c>
      <c r="E729">
        <v>0.04</v>
      </c>
      <c r="F729">
        <v>4981.91</v>
      </c>
      <c r="G729">
        <v>4.32</v>
      </c>
      <c r="H729">
        <v>12720</v>
      </c>
      <c r="I729">
        <v>39198</v>
      </c>
      <c r="J729">
        <v>10</v>
      </c>
      <c r="K729" t="s">
        <v>37</v>
      </c>
      <c r="L729" s="1">
        <v>44619</v>
      </c>
      <c r="M729" t="s">
        <v>100</v>
      </c>
      <c r="N729" t="s">
        <v>60</v>
      </c>
      <c r="O729">
        <v>5480.1009999999997</v>
      </c>
      <c r="P729">
        <v>498.19099999999997</v>
      </c>
      <c r="Q729">
        <v>0.39</v>
      </c>
    </row>
    <row r="730" spans="1:17">
      <c r="A730" t="s">
        <v>39</v>
      </c>
      <c r="B730" t="s">
        <v>18</v>
      </c>
      <c r="C730" t="s">
        <v>40</v>
      </c>
      <c r="D730" t="s">
        <v>20</v>
      </c>
      <c r="E730">
        <v>0.06</v>
      </c>
      <c r="F730">
        <v>11222.62</v>
      </c>
      <c r="G730">
        <v>2.31</v>
      </c>
      <c r="H730">
        <v>29690</v>
      </c>
      <c r="I730">
        <v>89462</v>
      </c>
      <c r="J730">
        <v>6</v>
      </c>
      <c r="K730" t="s">
        <v>37</v>
      </c>
      <c r="L730" s="1">
        <v>44868</v>
      </c>
      <c r="M730" t="s">
        <v>74</v>
      </c>
      <c r="N730" t="s">
        <v>41</v>
      </c>
      <c r="O730">
        <v>12344.882</v>
      </c>
      <c r="P730">
        <v>1122.2619999999999</v>
      </c>
      <c r="Q730">
        <v>0.38</v>
      </c>
    </row>
    <row r="731" spans="1:17">
      <c r="A731" t="s">
        <v>45</v>
      </c>
      <c r="B731" t="s">
        <v>29</v>
      </c>
      <c r="C731" t="s">
        <v>30</v>
      </c>
      <c r="D731" t="s">
        <v>20</v>
      </c>
      <c r="E731">
        <v>0.1</v>
      </c>
      <c r="F731">
        <v>4578.51</v>
      </c>
      <c r="G731">
        <v>1.97</v>
      </c>
      <c r="H731">
        <v>11625</v>
      </c>
      <c r="I731">
        <v>35953</v>
      </c>
      <c r="J731">
        <v>5</v>
      </c>
      <c r="K731" t="s">
        <v>46</v>
      </c>
      <c r="L731" s="1">
        <v>44600</v>
      </c>
      <c r="M731" t="s">
        <v>47</v>
      </c>
      <c r="N731" t="s">
        <v>60</v>
      </c>
      <c r="O731">
        <v>5036.3609999999999</v>
      </c>
      <c r="P731">
        <v>457.851</v>
      </c>
      <c r="Q731">
        <v>0.39</v>
      </c>
    </row>
    <row r="732" spans="1:17">
      <c r="A732" t="s">
        <v>24</v>
      </c>
      <c r="B732" t="s">
        <v>29</v>
      </c>
      <c r="C732" t="s">
        <v>19</v>
      </c>
      <c r="D732" t="s">
        <v>42</v>
      </c>
      <c r="E732">
        <v>0.05</v>
      </c>
      <c r="F732">
        <v>500</v>
      </c>
      <c r="G732">
        <v>1.11359545266472</v>
      </c>
      <c r="H732">
        <v>858</v>
      </c>
      <c r="I732">
        <v>3774</v>
      </c>
      <c r="J732">
        <v>1</v>
      </c>
      <c r="K732" t="s">
        <v>46</v>
      </c>
      <c r="L732" s="1">
        <v>44755</v>
      </c>
      <c r="M732" t="s">
        <v>70</v>
      </c>
      <c r="N732" t="s">
        <v>23</v>
      </c>
      <c r="O732">
        <v>550</v>
      </c>
      <c r="P732">
        <v>50</v>
      </c>
      <c r="Q732">
        <v>0.57999999999999996</v>
      </c>
    </row>
    <row r="733" spans="1:17">
      <c r="A733" t="s">
        <v>28</v>
      </c>
      <c r="B733" t="s">
        <v>29</v>
      </c>
      <c r="C733" t="s">
        <v>30</v>
      </c>
      <c r="D733" t="s">
        <v>36</v>
      </c>
      <c r="E733">
        <v>0.08</v>
      </c>
      <c r="F733">
        <v>4364.07</v>
      </c>
      <c r="G733">
        <v>3.68</v>
      </c>
      <c r="H733">
        <v>11032</v>
      </c>
      <c r="I733">
        <v>34198</v>
      </c>
      <c r="J733">
        <v>5</v>
      </c>
      <c r="K733" t="s">
        <v>53</v>
      </c>
      <c r="L733" s="1">
        <v>44837</v>
      </c>
      <c r="M733" t="s">
        <v>83</v>
      </c>
      <c r="N733" t="s">
        <v>57</v>
      </c>
      <c r="O733">
        <v>4800.4769999999999</v>
      </c>
      <c r="P733">
        <v>436.40699999999998</v>
      </c>
      <c r="Q733">
        <v>0.4</v>
      </c>
    </row>
    <row r="734" spans="1:17">
      <c r="A734" t="s">
        <v>45</v>
      </c>
      <c r="B734" t="s">
        <v>34</v>
      </c>
      <c r="C734" t="s">
        <v>19</v>
      </c>
      <c r="D734" t="s">
        <v>20</v>
      </c>
      <c r="E734">
        <v>0.03</v>
      </c>
      <c r="F734">
        <v>500</v>
      </c>
      <c r="G734">
        <v>1.63</v>
      </c>
      <c r="H734">
        <v>2020</v>
      </c>
      <c r="I734">
        <v>7502</v>
      </c>
      <c r="J734">
        <v>1</v>
      </c>
      <c r="K734" t="s">
        <v>53</v>
      </c>
      <c r="L734" s="1">
        <v>44810</v>
      </c>
      <c r="M734" t="s">
        <v>68</v>
      </c>
      <c r="N734" t="s">
        <v>65</v>
      </c>
      <c r="O734">
        <v>550</v>
      </c>
      <c r="P734">
        <v>50</v>
      </c>
      <c r="Q734">
        <v>0.25</v>
      </c>
    </row>
    <row r="735" spans="1:17">
      <c r="A735" t="s">
        <v>28</v>
      </c>
      <c r="B735" t="s">
        <v>25</v>
      </c>
      <c r="C735" t="s">
        <v>35</v>
      </c>
      <c r="D735" t="s">
        <v>50</v>
      </c>
      <c r="E735">
        <v>0.14000000000000001</v>
      </c>
      <c r="F735">
        <v>15000</v>
      </c>
      <c r="G735">
        <v>2.0299999999999998</v>
      </c>
      <c r="H735">
        <v>38632</v>
      </c>
      <c r="I735">
        <v>115950</v>
      </c>
      <c r="J735">
        <v>2</v>
      </c>
      <c r="K735" t="s">
        <v>21</v>
      </c>
      <c r="L735" s="1">
        <v>44632</v>
      </c>
      <c r="M735" t="s">
        <v>61</v>
      </c>
      <c r="N735" t="s">
        <v>81</v>
      </c>
      <c r="O735">
        <v>16500</v>
      </c>
      <c r="P735">
        <v>1500</v>
      </c>
      <c r="Q735">
        <v>0.39</v>
      </c>
    </row>
    <row r="736" spans="1:17">
      <c r="A736" t="s">
        <v>33</v>
      </c>
      <c r="B736" t="s">
        <v>34</v>
      </c>
      <c r="C736" t="s">
        <v>35</v>
      </c>
      <c r="D736" t="s">
        <v>20</v>
      </c>
      <c r="E736">
        <v>0.03</v>
      </c>
      <c r="F736">
        <v>12202.51</v>
      </c>
      <c r="G736">
        <v>5.17</v>
      </c>
      <c r="H736">
        <v>32308</v>
      </c>
      <c r="I736">
        <v>97216</v>
      </c>
      <c r="J736">
        <v>9</v>
      </c>
      <c r="K736" t="s">
        <v>46</v>
      </c>
      <c r="L736" s="1">
        <v>44693</v>
      </c>
      <c r="M736" t="s">
        <v>86</v>
      </c>
      <c r="N736" t="s">
        <v>44</v>
      </c>
      <c r="O736">
        <v>13422.761</v>
      </c>
      <c r="P736">
        <v>1220.251</v>
      </c>
      <c r="Q736">
        <v>0.38</v>
      </c>
    </row>
    <row r="737" spans="1:17">
      <c r="A737" t="s">
        <v>17</v>
      </c>
      <c r="B737" t="s">
        <v>25</v>
      </c>
      <c r="C737" t="s">
        <v>40</v>
      </c>
      <c r="D737" t="s">
        <v>20</v>
      </c>
      <c r="E737">
        <v>0.14000000000000001</v>
      </c>
      <c r="F737">
        <v>8967.58</v>
      </c>
      <c r="G737">
        <v>3.49</v>
      </c>
      <c r="H737">
        <v>23539</v>
      </c>
      <c r="I737">
        <v>71243</v>
      </c>
      <c r="J737">
        <v>10</v>
      </c>
      <c r="K737" t="s">
        <v>37</v>
      </c>
      <c r="L737" s="1">
        <v>44701</v>
      </c>
      <c r="M737" t="s">
        <v>100</v>
      </c>
      <c r="N737" t="s">
        <v>44</v>
      </c>
      <c r="O737">
        <v>9864.3379999999997</v>
      </c>
      <c r="P737">
        <v>896.75800000000095</v>
      </c>
      <c r="Q737">
        <v>0.38</v>
      </c>
    </row>
    <row r="738" spans="1:17">
      <c r="A738" t="s">
        <v>28</v>
      </c>
      <c r="B738" t="s">
        <v>25</v>
      </c>
      <c r="C738" t="s">
        <v>40</v>
      </c>
      <c r="D738" t="s">
        <v>42</v>
      </c>
      <c r="E738">
        <v>0.11</v>
      </c>
      <c r="F738">
        <v>8495.4500000000007</v>
      </c>
      <c r="G738">
        <v>0.87407411934679202</v>
      </c>
      <c r="H738">
        <v>13082</v>
      </c>
      <c r="I738">
        <v>43580</v>
      </c>
      <c r="J738">
        <v>1</v>
      </c>
      <c r="K738" t="s">
        <v>46</v>
      </c>
      <c r="L738" s="1">
        <v>44577</v>
      </c>
      <c r="M738" t="s">
        <v>93</v>
      </c>
      <c r="N738" t="s">
        <v>27</v>
      </c>
      <c r="O738">
        <v>9344.9950000000008</v>
      </c>
      <c r="P738">
        <v>849.54499999999996</v>
      </c>
      <c r="Q738">
        <v>0.65</v>
      </c>
    </row>
    <row r="739" spans="1:17">
      <c r="A739" t="s">
        <v>55</v>
      </c>
      <c r="B739" t="s">
        <v>18</v>
      </c>
      <c r="C739" t="s">
        <v>40</v>
      </c>
      <c r="D739" t="s">
        <v>20</v>
      </c>
      <c r="E739">
        <v>0.1</v>
      </c>
      <c r="F739">
        <v>10896.95</v>
      </c>
      <c r="G739">
        <v>4.74</v>
      </c>
      <c r="H739">
        <v>28793</v>
      </c>
      <c r="I739">
        <v>86805</v>
      </c>
      <c r="J739">
        <v>6</v>
      </c>
      <c r="K739" t="s">
        <v>53</v>
      </c>
      <c r="L739" s="1">
        <v>44856</v>
      </c>
      <c r="M739" t="s">
        <v>78</v>
      </c>
      <c r="N739" t="s">
        <v>57</v>
      </c>
      <c r="O739">
        <v>11986.645</v>
      </c>
      <c r="P739">
        <v>1089.6949999999999</v>
      </c>
      <c r="Q739">
        <v>0.38</v>
      </c>
    </row>
    <row r="740" spans="1:17">
      <c r="A740" t="s">
        <v>67</v>
      </c>
      <c r="B740" t="s">
        <v>18</v>
      </c>
      <c r="C740" t="s">
        <v>35</v>
      </c>
      <c r="D740" t="s">
        <v>36</v>
      </c>
      <c r="E740">
        <v>7.0000000000000007E-2</v>
      </c>
      <c r="F740">
        <v>13864.82</v>
      </c>
      <c r="G740">
        <v>4.49</v>
      </c>
      <c r="H740">
        <v>36385</v>
      </c>
      <c r="I740">
        <v>109293</v>
      </c>
      <c r="J740">
        <v>8</v>
      </c>
      <c r="K740" t="s">
        <v>46</v>
      </c>
      <c r="L740" s="1">
        <v>44643</v>
      </c>
      <c r="M740" t="s">
        <v>70</v>
      </c>
      <c r="N740" t="s">
        <v>81</v>
      </c>
      <c r="O740">
        <v>15251.302</v>
      </c>
      <c r="P740">
        <v>1386.482</v>
      </c>
      <c r="Q740">
        <v>0.38</v>
      </c>
    </row>
    <row r="741" spans="1:17">
      <c r="A741" t="s">
        <v>55</v>
      </c>
      <c r="B741" t="s">
        <v>25</v>
      </c>
      <c r="C741" t="s">
        <v>30</v>
      </c>
      <c r="D741" t="s">
        <v>42</v>
      </c>
      <c r="E741">
        <v>0.06</v>
      </c>
      <c r="F741">
        <v>4859.6099999999997</v>
      </c>
      <c r="G741">
        <v>0.64349014921236203</v>
      </c>
      <c r="H741">
        <v>7277</v>
      </c>
      <c r="I741">
        <v>24677</v>
      </c>
      <c r="J741">
        <v>1</v>
      </c>
      <c r="K741" t="s">
        <v>51</v>
      </c>
      <c r="L741" s="1">
        <v>44654</v>
      </c>
      <c r="M741" t="s">
        <v>101</v>
      </c>
      <c r="N741" t="s">
        <v>73</v>
      </c>
      <c r="O741">
        <v>5345.5709999999999</v>
      </c>
      <c r="P741">
        <v>485.96100000000001</v>
      </c>
      <c r="Q741">
        <v>0.67</v>
      </c>
    </row>
    <row r="742" spans="1:17">
      <c r="A742" t="s">
        <v>45</v>
      </c>
      <c r="B742" t="s">
        <v>29</v>
      </c>
      <c r="C742" t="s">
        <v>30</v>
      </c>
      <c r="D742" t="s">
        <v>50</v>
      </c>
      <c r="E742">
        <v>0.02</v>
      </c>
      <c r="F742">
        <v>6993.96</v>
      </c>
      <c r="G742">
        <v>5.08</v>
      </c>
      <c r="H742">
        <v>18188</v>
      </c>
      <c r="I742">
        <v>55392</v>
      </c>
      <c r="J742">
        <v>8</v>
      </c>
      <c r="K742" t="s">
        <v>37</v>
      </c>
      <c r="L742" s="1">
        <v>44667</v>
      </c>
      <c r="M742" t="s">
        <v>56</v>
      </c>
      <c r="N742" t="s">
        <v>73</v>
      </c>
      <c r="O742">
        <v>7693.3559999999998</v>
      </c>
      <c r="P742">
        <v>699.39599999999996</v>
      </c>
      <c r="Q742">
        <v>0.38</v>
      </c>
    </row>
    <row r="743" spans="1:17">
      <c r="A743" t="s">
        <v>49</v>
      </c>
      <c r="B743" t="s">
        <v>18</v>
      </c>
      <c r="C743" t="s">
        <v>19</v>
      </c>
      <c r="D743" t="s">
        <v>42</v>
      </c>
      <c r="E743">
        <v>0.03</v>
      </c>
      <c r="F743">
        <v>3466.21</v>
      </c>
      <c r="G743">
        <v>1.38171634816987</v>
      </c>
      <c r="H743">
        <v>5046</v>
      </c>
      <c r="I743">
        <v>17414</v>
      </c>
      <c r="J743">
        <v>1</v>
      </c>
      <c r="K743" t="s">
        <v>46</v>
      </c>
      <c r="L743" s="1">
        <v>44849</v>
      </c>
      <c r="M743" t="s">
        <v>86</v>
      </c>
      <c r="N743" t="s">
        <v>57</v>
      </c>
      <c r="O743">
        <v>3812.8310000000001</v>
      </c>
      <c r="P743">
        <v>346.62099999999998</v>
      </c>
      <c r="Q743">
        <v>0.69</v>
      </c>
    </row>
    <row r="744" spans="1:17">
      <c r="A744" t="s">
        <v>24</v>
      </c>
      <c r="B744" t="s">
        <v>34</v>
      </c>
      <c r="C744" t="s">
        <v>40</v>
      </c>
      <c r="D744" t="s">
        <v>50</v>
      </c>
      <c r="E744">
        <v>7.0000000000000007E-2</v>
      </c>
      <c r="F744">
        <v>9571.41</v>
      </c>
      <c r="G744">
        <v>0.19</v>
      </c>
      <c r="H744">
        <v>25179</v>
      </c>
      <c r="I744">
        <v>76101</v>
      </c>
      <c r="J744">
        <v>7</v>
      </c>
      <c r="K744" t="s">
        <v>51</v>
      </c>
      <c r="L744" s="1">
        <v>44581</v>
      </c>
      <c r="M744" t="s">
        <v>75</v>
      </c>
      <c r="N744" t="s">
        <v>27</v>
      </c>
      <c r="O744">
        <v>10528.550999999999</v>
      </c>
      <c r="P744">
        <v>957.14100000000099</v>
      </c>
      <c r="Q744">
        <v>0.38</v>
      </c>
    </row>
    <row r="745" spans="1:17">
      <c r="A745" t="s">
        <v>17</v>
      </c>
      <c r="B745" t="s">
        <v>29</v>
      </c>
      <c r="C745" t="s">
        <v>19</v>
      </c>
      <c r="D745" t="s">
        <v>50</v>
      </c>
      <c r="E745">
        <v>0.09</v>
      </c>
      <c r="F745">
        <v>500</v>
      </c>
      <c r="G745">
        <v>6.48</v>
      </c>
      <c r="H745">
        <v>1271</v>
      </c>
      <c r="I745">
        <v>5286</v>
      </c>
      <c r="J745">
        <v>5</v>
      </c>
      <c r="K745" t="s">
        <v>21</v>
      </c>
      <c r="L745" s="1">
        <v>44625</v>
      </c>
      <c r="M745" t="s">
        <v>48</v>
      </c>
      <c r="N745" t="s">
        <v>81</v>
      </c>
      <c r="O745">
        <v>550</v>
      </c>
      <c r="P745">
        <v>50</v>
      </c>
      <c r="Q745">
        <v>0.39</v>
      </c>
    </row>
    <row r="746" spans="1:17">
      <c r="A746" t="s">
        <v>55</v>
      </c>
      <c r="B746" t="s">
        <v>18</v>
      </c>
      <c r="C746" t="s">
        <v>19</v>
      </c>
      <c r="D746" t="s">
        <v>20</v>
      </c>
      <c r="E746">
        <v>0.05</v>
      </c>
      <c r="F746">
        <v>2345.91</v>
      </c>
      <c r="G746">
        <v>4.2</v>
      </c>
      <c r="H746">
        <v>5736</v>
      </c>
      <c r="I746">
        <v>18509</v>
      </c>
      <c r="J746">
        <v>6</v>
      </c>
      <c r="K746" t="s">
        <v>53</v>
      </c>
      <c r="L746" s="1">
        <v>44761</v>
      </c>
      <c r="M746" t="s">
        <v>83</v>
      </c>
      <c r="N746" t="s">
        <v>23</v>
      </c>
      <c r="O746">
        <v>2580.5010000000002</v>
      </c>
      <c r="P746">
        <v>234.59100000000001</v>
      </c>
      <c r="Q746">
        <v>0.41</v>
      </c>
    </row>
    <row r="747" spans="1:17">
      <c r="A747" t="s">
        <v>45</v>
      </c>
      <c r="B747" t="s">
        <v>18</v>
      </c>
      <c r="C747" t="s">
        <v>19</v>
      </c>
      <c r="D747" t="s">
        <v>50</v>
      </c>
      <c r="E747">
        <v>0.12</v>
      </c>
      <c r="F747">
        <v>500</v>
      </c>
      <c r="G747">
        <v>5.51</v>
      </c>
      <c r="H747">
        <v>1571</v>
      </c>
      <c r="I747">
        <v>6174</v>
      </c>
      <c r="J747">
        <v>8</v>
      </c>
      <c r="K747" t="s">
        <v>53</v>
      </c>
      <c r="L747" s="1">
        <v>44664</v>
      </c>
      <c r="M747" t="s">
        <v>68</v>
      </c>
      <c r="N747" t="s">
        <v>73</v>
      </c>
      <c r="O747">
        <v>550</v>
      </c>
      <c r="P747">
        <v>50</v>
      </c>
      <c r="Q747">
        <v>0.32</v>
      </c>
    </row>
    <row r="748" spans="1:17">
      <c r="A748" t="s">
        <v>33</v>
      </c>
      <c r="B748" t="s">
        <v>18</v>
      </c>
      <c r="C748" t="s">
        <v>19</v>
      </c>
      <c r="D748" t="s">
        <v>42</v>
      </c>
      <c r="E748">
        <v>0.1</v>
      </c>
      <c r="F748">
        <v>2975.42</v>
      </c>
      <c r="G748">
        <v>2.3237144277113E-2</v>
      </c>
      <c r="H748">
        <v>4295</v>
      </c>
      <c r="I748">
        <v>14967</v>
      </c>
      <c r="J748">
        <v>1</v>
      </c>
      <c r="K748" t="s">
        <v>21</v>
      </c>
      <c r="L748" s="1">
        <v>44835</v>
      </c>
      <c r="M748" t="s">
        <v>103</v>
      </c>
      <c r="N748" t="s">
        <v>57</v>
      </c>
      <c r="O748">
        <v>3272.962</v>
      </c>
      <c r="P748">
        <v>297.54199999999997</v>
      </c>
      <c r="Q748">
        <v>0.69</v>
      </c>
    </row>
    <row r="749" spans="1:17">
      <c r="A749" t="s">
        <v>17</v>
      </c>
      <c r="B749" t="s">
        <v>18</v>
      </c>
      <c r="C749" t="s">
        <v>40</v>
      </c>
      <c r="D749" t="s">
        <v>36</v>
      </c>
      <c r="E749">
        <v>0.09</v>
      </c>
      <c r="F749">
        <v>9088.91</v>
      </c>
      <c r="G749">
        <v>6.4</v>
      </c>
      <c r="H749">
        <v>23862</v>
      </c>
      <c r="I749">
        <v>72201</v>
      </c>
      <c r="J749">
        <v>7</v>
      </c>
      <c r="K749" t="s">
        <v>21</v>
      </c>
      <c r="L749" s="1">
        <v>44822</v>
      </c>
      <c r="M749" t="s">
        <v>61</v>
      </c>
      <c r="N749" t="s">
        <v>65</v>
      </c>
      <c r="O749">
        <v>9997.8009999999995</v>
      </c>
      <c r="P749">
        <v>908.89100000000099</v>
      </c>
      <c r="Q749">
        <v>0.38</v>
      </c>
    </row>
    <row r="750" spans="1:17">
      <c r="A750" t="s">
        <v>45</v>
      </c>
      <c r="B750" t="s">
        <v>25</v>
      </c>
      <c r="C750" t="s">
        <v>40</v>
      </c>
      <c r="D750" t="s">
        <v>42</v>
      </c>
      <c r="E750">
        <v>0.1</v>
      </c>
      <c r="F750">
        <v>10325.26</v>
      </c>
      <c r="G750">
        <v>0.668514766126176</v>
      </c>
      <c r="H750">
        <v>15995</v>
      </c>
      <c r="I750">
        <v>53065</v>
      </c>
      <c r="J750">
        <v>1</v>
      </c>
      <c r="K750" t="s">
        <v>37</v>
      </c>
      <c r="L750" s="1">
        <v>44749</v>
      </c>
      <c r="M750" t="s">
        <v>38</v>
      </c>
      <c r="N750" t="s">
        <v>23</v>
      </c>
      <c r="O750">
        <v>11357.786</v>
      </c>
      <c r="P750">
        <v>1032.5260000000001</v>
      </c>
      <c r="Q750">
        <v>0.65</v>
      </c>
    </row>
    <row r="751" spans="1:17">
      <c r="A751" t="s">
        <v>33</v>
      </c>
      <c r="B751" t="s">
        <v>29</v>
      </c>
      <c r="C751" t="s">
        <v>40</v>
      </c>
      <c r="D751" t="s">
        <v>20</v>
      </c>
      <c r="E751">
        <v>7.0000000000000007E-2</v>
      </c>
      <c r="F751">
        <v>7968.26</v>
      </c>
      <c r="G751">
        <v>3.04</v>
      </c>
      <c r="H751">
        <v>20825</v>
      </c>
      <c r="I751">
        <v>63204</v>
      </c>
      <c r="J751">
        <v>7</v>
      </c>
      <c r="K751" t="s">
        <v>21</v>
      </c>
      <c r="L751" s="1">
        <v>44828</v>
      </c>
      <c r="M751" t="s">
        <v>103</v>
      </c>
      <c r="N751" t="s">
        <v>65</v>
      </c>
      <c r="O751">
        <v>8765.0859999999993</v>
      </c>
      <c r="P751">
        <v>796.82600000000002</v>
      </c>
      <c r="Q751">
        <v>0.38</v>
      </c>
    </row>
    <row r="752" spans="1:17">
      <c r="A752" t="s">
        <v>45</v>
      </c>
      <c r="B752" t="s">
        <v>18</v>
      </c>
      <c r="C752" t="s">
        <v>35</v>
      </c>
      <c r="D752" t="s">
        <v>50</v>
      </c>
      <c r="E752">
        <v>0.13</v>
      </c>
      <c r="F752">
        <v>12063.94</v>
      </c>
      <c r="G752">
        <v>0.56000000000000005</v>
      </c>
      <c r="H752">
        <v>31932</v>
      </c>
      <c r="I752">
        <v>96105</v>
      </c>
      <c r="J752">
        <v>4</v>
      </c>
      <c r="K752" t="s">
        <v>37</v>
      </c>
      <c r="L752" s="1">
        <v>44806</v>
      </c>
      <c r="M752" t="s">
        <v>91</v>
      </c>
      <c r="N752" t="s">
        <v>65</v>
      </c>
      <c r="O752">
        <v>13270.334000000001</v>
      </c>
      <c r="P752">
        <v>1206.394</v>
      </c>
      <c r="Q752">
        <v>0.38</v>
      </c>
    </row>
    <row r="753" spans="1:17">
      <c r="A753" t="s">
        <v>67</v>
      </c>
      <c r="B753" t="s">
        <v>25</v>
      </c>
      <c r="C753" t="s">
        <v>40</v>
      </c>
      <c r="D753" t="s">
        <v>50</v>
      </c>
      <c r="E753">
        <v>0.09</v>
      </c>
      <c r="F753">
        <v>10856.5</v>
      </c>
      <c r="G753">
        <v>0.13</v>
      </c>
      <c r="H753">
        <v>28686</v>
      </c>
      <c r="I753">
        <v>86487</v>
      </c>
      <c r="J753">
        <v>10</v>
      </c>
      <c r="K753" t="s">
        <v>46</v>
      </c>
      <c r="L753" s="1">
        <v>44588</v>
      </c>
      <c r="M753" t="s">
        <v>47</v>
      </c>
      <c r="N753" t="s">
        <v>27</v>
      </c>
      <c r="O753">
        <v>11942.15</v>
      </c>
      <c r="P753">
        <v>1085.6500000000001</v>
      </c>
      <c r="Q753">
        <v>0.38</v>
      </c>
    </row>
    <row r="754" spans="1:17">
      <c r="A754" t="s">
        <v>45</v>
      </c>
      <c r="B754" t="s">
        <v>29</v>
      </c>
      <c r="C754" t="s">
        <v>35</v>
      </c>
      <c r="D754" t="s">
        <v>20</v>
      </c>
      <c r="E754">
        <v>0.1</v>
      </c>
      <c r="F754">
        <v>14090.67</v>
      </c>
      <c r="G754">
        <v>5.85</v>
      </c>
      <c r="H754">
        <v>36862</v>
      </c>
      <c r="I754">
        <v>110705</v>
      </c>
      <c r="J754">
        <v>9</v>
      </c>
      <c r="K754" t="s">
        <v>21</v>
      </c>
      <c r="L754" s="1">
        <v>44779</v>
      </c>
      <c r="M754" t="s">
        <v>103</v>
      </c>
      <c r="N754" t="s">
        <v>32</v>
      </c>
      <c r="O754">
        <v>15499.736999999999</v>
      </c>
      <c r="P754">
        <v>1409.067</v>
      </c>
      <c r="Q754">
        <v>0.38</v>
      </c>
    </row>
    <row r="755" spans="1:17">
      <c r="A755" t="s">
        <v>33</v>
      </c>
      <c r="B755" t="s">
        <v>25</v>
      </c>
      <c r="C755" t="s">
        <v>40</v>
      </c>
      <c r="D755" t="s">
        <v>36</v>
      </c>
      <c r="E755">
        <v>0.06</v>
      </c>
      <c r="F755">
        <v>9964.2099999999991</v>
      </c>
      <c r="G755">
        <v>0.2</v>
      </c>
      <c r="H755">
        <v>26252</v>
      </c>
      <c r="I755">
        <v>79279</v>
      </c>
      <c r="J755">
        <v>10</v>
      </c>
      <c r="K755" t="s">
        <v>21</v>
      </c>
      <c r="L755" s="1">
        <v>44841</v>
      </c>
      <c r="M755" t="s">
        <v>103</v>
      </c>
      <c r="N755" t="s">
        <v>57</v>
      </c>
      <c r="O755">
        <v>10960.630999999999</v>
      </c>
      <c r="P755">
        <v>996.42100000000005</v>
      </c>
      <c r="Q755">
        <v>0.38</v>
      </c>
    </row>
    <row r="756" spans="1:17">
      <c r="A756" t="s">
        <v>33</v>
      </c>
      <c r="B756" t="s">
        <v>25</v>
      </c>
      <c r="C756" t="s">
        <v>35</v>
      </c>
      <c r="D756" t="s">
        <v>50</v>
      </c>
      <c r="E756">
        <v>7.0000000000000007E-2</v>
      </c>
      <c r="F756">
        <v>11777.85</v>
      </c>
      <c r="G756">
        <v>5.53</v>
      </c>
      <c r="H756">
        <v>31192</v>
      </c>
      <c r="I756">
        <v>93911</v>
      </c>
      <c r="J756">
        <v>2</v>
      </c>
      <c r="K756" t="s">
        <v>53</v>
      </c>
      <c r="L756" s="1">
        <v>44825</v>
      </c>
      <c r="M756" t="s">
        <v>78</v>
      </c>
      <c r="N756" t="s">
        <v>65</v>
      </c>
      <c r="O756">
        <v>12955.635</v>
      </c>
      <c r="P756">
        <v>1177.7850000000001</v>
      </c>
      <c r="Q756">
        <v>0.38</v>
      </c>
    </row>
    <row r="757" spans="1:17">
      <c r="A757" t="s">
        <v>67</v>
      </c>
      <c r="B757" t="s">
        <v>29</v>
      </c>
      <c r="C757" t="s">
        <v>19</v>
      </c>
      <c r="D757" t="s">
        <v>20</v>
      </c>
      <c r="E757">
        <v>0.13</v>
      </c>
      <c r="F757">
        <v>1278.78</v>
      </c>
      <c r="G757">
        <v>4.3099999999999996</v>
      </c>
      <c r="H757">
        <v>3369</v>
      </c>
      <c r="I757">
        <v>11499</v>
      </c>
      <c r="J757">
        <v>10</v>
      </c>
      <c r="K757" t="s">
        <v>37</v>
      </c>
      <c r="L757" s="1">
        <v>44762</v>
      </c>
      <c r="M757" t="s">
        <v>100</v>
      </c>
      <c r="N757" t="s">
        <v>23</v>
      </c>
      <c r="O757">
        <v>1406.6579999999999</v>
      </c>
      <c r="P757">
        <v>127.878</v>
      </c>
      <c r="Q757">
        <v>0.38</v>
      </c>
    </row>
    <row r="758" spans="1:17">
      <c r="A758" t="s">
        <v>45</v>
      </c>
      <c r="B758" t="s">
        <v>25</v>
      </c>
      <c r="C758" t="s">
        <v>40</v>
      </c>
      <c r="D758" t="s">
        <v>36</v>
      </c>
      <c r="E758">
        <v>0.15</v>
      </c>
      <c r="F758">
        <v>9150.34</v>
      </c>
      <c r="G758">
        <v>3.8</v>
      </c>
      <c r="H758">
        <v>24035</v>
      </c>
      <c r="I758">
        <v>72712</v>
      </c>
      <c r="J758">
        <v>1</v>
      </c>
      <c r="K758" t="s">
        <v>46</v>
      </c>
      <c r="L758" s="1">
        <v>44735</v>
      </c>
      <c r="M758" t="s">
        <v>87</v>
      </c>
      <c r="N758" t="s">
        <v>69</v>
      </c>
      <c r="O758">
        <v>10065.374</v>
      </c>
      <c r="P758">
        <v>915.03400000000101</v>
      </c>
      <c r="Q758">
        <v>0.38</v>
      </c>
    </row>
    <row r="759" spans="1:17">
      <c r="A759" t="s">
        <v>39</v>
      </c>
      <c r="B759" t="s">
        <v>25</v>
      </c>
      <c r="C759" t="s">
        <v>19</v>
      </c>
      <c r="D759" t="s">
        <v>42</v>
      </c>
      <c r="E759">
        <v>0.13</v>
      </c>
      <c r="F759">
        <v>1871.49</v>
      </c>
      <c r="G759">
        <v>5.1836706464329099E-2</v>
      </c>
      <c r="H759">
        <v>2699</v>
      </c>
      <c r="I759">
        <v>9772</v>
      </c>
      <c r="J759">
        <v>1</v>
      </c>
      <c r="K759" t="s">
        <v>46</v>
      </c>
      <c r="L759" s="1">
        <v>44629</v>
      </c>
      <c r="M759" t="s">
        <v>87</v>
      </c>
      <c r="N759" t="s">
        <v>81</v>
      </c>
      <c r="O759">
        <v>2058.6390000000001</v>
      </c>
      <c r="P759">
        <v>187.149</v>
      </c>
      <c r="Q759">
        <v>0.69</v>
      </c>
    </row>
    <row r="760" spans="1:17">
      <c r="A760" t="s">
        <v>17</v>
      </c>
      <c r="B760" t="s">
        <v>25</v>
      </c>
      <c r="C760" t="s">
        <v>19</v>
      </c>
      <c r="D760" t="s">
        <v>20</v>
      </c>
      <c r="E760">
        <v>7.0000000000000007E-2</v>
      </c>
      <c r="F760">
        <v>3626.83</v>
      </c>
      <c r="G760">
        <v>7.65</v>
      </c>
      <c r="H760">
        <v>9028</v>
      </c>
      <c r="I760">
        <v>28261</v>
      </c>
      <c r="J760">
        <v>9</v>
      </c>
      <c r="K760" t="s">
        <v>46</v>
      </c>
      <c r="L760" s="1">
        <v>44828</v>
      </c>
      <c r="M760" t="s">
        <v>88</v>
      </c>
      <c r="N760" t="s">
        <v>65</v>
      </c>
      <c r="O760">
        <v>3989.5129999999999</v>
      </c>
      <c r="P760">
        <v>362.68299999999999</v>
      </c>
      <c r="Q760">
        <v>0.4</v>
      </c>
    </row>
    <row r="761" spans="1:17">
      <c r="A761" t="s">
        <v>45</v>
      </c>
      <c r="B761" t="s">
        <v>34</v>
      </c>
      <c r="C761" t="s">
        <v>19</v>
      </c>
      <c r="D761" t="s">
        <v>20</v>
      </c>
      <c r="E761">
        <v>0.02</v>
      </c>
      <c r="F761">
        <v>1898.41</v>
      </c>
      <c r="G761">
        <v>6.64</v>
      </c>
      <c r="H761">
        <v>4663</v>
      </c>
      <c r="I761">
        <v>15332</v>
      </c>
      <c r="J761">
        <v>3</v>
      </c>
      <c r="K761" t="s">
        <v>21</v>
      </c>
      <c r="L761" s="1">
        <v>44923</v>
      </c>
      <c r="M761" t="s">
        <v>26</v>
      </c>
      <c r="N761" t="s">
        <v>63</v>
      </c>
      <c r="O761">
        <v>2088.2510000000002</v>
      </c>
      <c r="P761">
        <v>189.84100000000001</v>
      </c>
      <c r="Q761">
        <v>0.41</v>
      </c>
    </row>
    <row r="762" spans="1:17">
      <c r="A762" t="s">
        <v>28</v>
      </c>
      <c r="B762" t="s">
        <v>25</v>
      </c>
      <c r="C762" t="s">
        <v>30</v>
      </c>
      <c r="D762" t="s">
        <v>42</v>
      </c>
      <c r="E762">
        <v>0.12</v>
      </c>
      <c r="F762">
        <v>5490.01</v>
      </c>
      <c r="G762">
        <v>0.75252598005112303</v>
      </c>
      <c r="H762">
        <v>8284</v>
      </c>
      <c r="I762">
        <v>27957</v>
      </c>
      <c r="J762">
        <v>1</v>
      </c>
      <c r="K762" t="s">
        <v>21</v>
      </c>
      <c r="L762" s="1">
        <v>44926</v>
      </c>
      <c r="M762" t="s">
        <v>22</v>
      </c>
      <c r="N762" t="s">
        <v>63</v>
      </c>
      <c r="O762">
        <v>6039.0110000000004</v>
      </c>
      <c r="P762">
        <v>549.00099999999998</v>
      </c>
      <c r="Q762">
        <v>0.66</v>
      </c>
    </row>
    <row r="763" spans="1:17">
      <c r="A763" t="s">
        <v>39</v>
      </c>
      <c r="B763" t="s">
        <v>25</v>
      </c>
      <c r="C763" t="s">
        <v>40</v>
      </c>
      <c r="D763" t="s">
        <v>42</v>
      </c>
      <c r="E763">
        <v>0.06</v>
      </c>
      <c r="F763">
        <v>10196.030000000001</v>
      </c>
      <c r="G763">
        <v>0.52015453727999195</v>
      </c>
      <c r="H763">
        <v>15791</v>
      </c>
      <c r="I763">
        <v>52399</v>
      </c>
      <c r="J763">
        <v>1</v>
      </c>
      <c r="K763" t="s">
        <v>53</v>
      </c>
      <c r="L763" s="1">
        <v>44758</v>
      </c>
      <c r="M763" t="s">
        <v>83</v>
      </c>
      <c r="N763" t="s">
        <v>23</v>
      </c>
      <c r="O763">
        <v>11215.633</v>
      </c>
      <c r="P763">
        <v>1019.603</v>
      </c>
      <c r="Q763">
        <v>0.65</v>
      </c>
    </row>
    <row r="764" spans="1:17">
      <c r="A764" t="s">
        <v>24</v>
      </c>
      <c r="B764" t="s">
        <v>29</v>
      </c>
      <c r="C764" t="s">
        <v>40</v>
      </c>
      <c r="D764" t="s">
        <v>42</v>
      </c>
      <c r="E764">
        <v>0.14000000000000001</v>
      </c>
      <c r="F764">
        <v>9453.73</v>
      </c>
      <c r="G764">
        <v>0.17695979103339901</v>
      </c>
      <c r="H764">
        <v>14593</v>
      </c>
      <c r="I764">
        <v>48500</v>
      </c>
      <c r="J764">
        <v>1</v>
      </c>
      <c r="K764" t="s">
        <v>21</v>
      </c>
      <c r="L764" s="1">
        <v>44597</v>
      </c>
      <c r="M764" t="s">
        <v>103</v>
      </c>
      <c r="N764" t="s">
        <v>60</v>
      </c>
      <c r="O764">
        <v>10399.102999999999</v>
      </c>
      <c r="P764">
        <v>945.37300000000096</v>
      </c>
      <c r="Q764">
        <v>0.65</v>
      </c>
    </row>
    <row r="765" spans="1:17">
      <c r="A765" t="s">
        <v>17</v>
      </c>
      <c r="B765" t="s">
        <v>18</v>
      </c>
      <c r="C765" t="s">
        <v>40</v>
      </c>
      <c r="D765" t="s">
        <v>36</v>
      </c>
      <c r="E765">
        <v>0.06</v>
      </c>
      <c r="F765">
        <v>8110.39</v>
      </c>
      <c r="G765">
        <v>0.45</v>
      </c>
      <c r="H765">
        <v>21216</v>
      </c>
      <c r="I765">
        <v>64363</v>
      </c>
      <c r="J765">
        <v>3</v>
      </c>
      <c r="K765" t="s">
        <v>21</v>
      </c>
      <c r="L765" s="1">
        <v>44844</v>
      </c>
      <c r="M765" t="s">
        <v>48</v>
      </c>
      <c r="N765" t="s">
        <v>57</v>
      </c>
      <c r="O765">
        <v>8921.4290000000001</v>
      </c>
      <c r="P765">
        <v>811.03900000000101</v>
      </c>
      <c r="Q765">
        <v>0.38</v>
      </c>
    </row>
    <row r="766" spans="1:17">
      <c r="A766" t="s">
        <v>45</v>
      </c>
      <c r="B766" t="s">
        <v>18</v>
      </c>
      <c r="C766" t="s">
        <v>40</v>
      </c>
      <c r="D766" t="s">
        <v>42</v>
      </c>
      <c r="E766">
        <v>0.06</v>
      </c>
      <c r="F766">
        <v>9657.18</v>
      </c>
      <c r="G766">
        <v>0.63634025866555799</v>
      </c>
      <c r="H766">
        <v>14928</v>
      </c>
      <c r="I766">
        <v>49589</v>
      </c>
      <c r="J766">
        <v>1</v>
      </c>
      <c r="K766" t="s">
        <v>21</v>
      </c>
      <c r="L766" s="1">
        <v>44897</v>
      </c>
      <c r="M766" t="s">
        <v>22</v>
      </c>
      <c r="N766" t="s">
        <v>63</v>
      </c>
      <c r="O766">
        <v>10622.897999999999</v>
      </c>
      <c r="P766">
        <v>965.71799999999996</v>
      </c>
      <c r="Q766">
        <v>0.65</v>
      </c>
    </row>
    <row r="767" spans="1:17">
      <c r="A767" t="s">
        <v>45</v>
      </c>
      <c r="B767" t="s">
        <v>25</v>
      </c>
      <c r="C767" t="s">
        <v>30</v>
      </c>
      <c r="D767" t="s">
        <v>50</v>
      </c>
      <c r="E767">
        <v>0.08</v>
      </c>
      <c r="F767">
        <v>6006.08</v>
      </c>
      <c r="G767">
        <v>1.07</v>
      </c>
      <c r="H767">
        <v>15518</v>
      </c>
      <c r="I767">
        <v>47484</v>
      </c>
      <c r="J767">
        <v>9</v>
      </c>
      <c r="K767" t="s">
        <v>37</v>
      </c>
      <c r="L767" s="1">
        <v>44855</v>
      </c>
      <c r="M767" t="s">
        <v>90</v>
      </c>
      <c r="N767" t="s">
        <v>57</v>
      </c>
      <c r="O767">
        <v>6606.6880000000001</v>
      </c>
      <c r="P767">
        <v>600.60799999999995</v>
      </c>
      <c r="Q767">
        <v>0.39</v>
      </c>
    </row>
    <row r="768" spans="1:17">
      <c r="A768" t="s">
        <v>45</v>
      </c>
      <c r="B768" t="s">
        <v>18</v>
      </c>
      <c r="C768" t="s">
        <v>30</v>
      </c>
      <c r="D768" t="s">
        <v>20</v>
      </c>
      <c r="E768">
        <v>0.01</v>
      </c>
      <c r="F768">
        <v>7391.3</v>
      </c>
      <c r="G768">
        <v>0.4</v>
      </c>
      <c r="H768">
        <v>19244</v>
      </c>
      <c r="I768">
        <v>58522</v>
      </c>
      <c r="J768">
        <v>6</v>
      </c>
      <c r="K768" t="s">
        <v>51</v>
      </c>
      <c r="L768" s="1">
        <v>44865</v>
      </c>
      <c r="M768" t="s">
        <v>75</v>
      </c>
      <c r="N768" t="s">
        <v>57</v>
      </c>
      <c r="O768">
        <v>8130.43</v>
      </c>
      <c r="P768">
        <v>739.13000000000102</v>
      </c>
      <c r="Q768">
        <v>0.38</v>
      </c>
    </row>
    <row r="769" spans="1:17">
      <c r="A769" t="s">
        <v>49</v>
      </c>
      <c r="B769" t="s">
        <v>25</v>
      </c>
      <c r="C769" t="s">
        <v>30</v>
      </c>
      <c r="D769" t="s">
        <v>50</v>
      </c>
      <c r="E769">
        <v>0.14000000000000001</v>
      </c>
      <c r="F769">
        <v>6637.38</v>
      </c>
      <c r="G769">
        <v>1.64</v>
      </c>
      <c r="H769">
        <v>17207</v>
      </c>
      <c r="I769">
        <v>52487</v>
      </c>
      <c r="J769">
        <v>7</v>
      </c>
      <c r="K769" t="s">
        <v>53</v>
      </c>
      <c r="L769" s="1">
        <v>44618</v>
      </c>
      <c r="M769" t="s">
        <v>104</v>
      </c>
      <c r="N769" t="s">
        <v>60</v>
      </c>
      <c r="O769">
        <v>7301.1180000000004</v>
      </c>
      <c r="P769">
        <v>663.73800000000006</v>
      </c>
      <c r="Q769">
        <v>0.39</v>
      </c>
    </row>
    <row r="770" spans="1:17">
      <c r="A770" t="s">
        <v>67</v>
      </c>
      <c r="B770" t="s">
        <v>18</v>
      </c>
      <c r="C770" t="s">
        <v>30</v>
      </c>
      <c r="D770" t="s">
        <v>42</v>
      </c>
      <c r="E770">
        <v>0.03</v>
      </c>
      <c r="F770">
        <v>4547.12</v>
      </c>
      <c r="G770">
        <v>1.4156783282671901</v>
      </c>
      <c r="H770">
        <v>6777</v>
      </c>
      <c r="I770">
        <v>23048</v>
      </c>
      <c r="J770">
        <v>1</v>
      </c>
      <c r="K770" t="s">
        <v>21</v>
      </c>
      <c r="L770" s="1">
        <v>44800</v>
      </c>
      <c r="M770" t="s">
        <v>77</v>
      </c>
      <c r="N770" t="s">
        <v>32</v>
      </c>
      <c r="O770">
        <v>5001.8320000000003</v>
      </c>
      <c r="P770">
        <v>454.71199999999999</v>
      </c>
      <c r="Q770">
        <v>0.67</v>
      </c>
    </row>
    <row r="771" spans="1:17">
      <c r="A771" t="s">
        <v>28</v>
      </c>
      <c r="B771" t="s">
        <v>29</v>
      </c>
      <c r="C771" t="s">
        <v>19</v>
      </c>
      <c r="D771" t="s">
        <v>50</v>
      </c>
      <c r="E771">
        <v>0.13</v>
      </c>
      <c r="F771">
        <v>2889.95</v>
      </c>
      <c r="G771">
        <v>6.52</v>
      </c>
      <c r="H771">
        <v>7090</v>
      </c>
      <c r="I771">
        <v>22522</v>
      </c>
      <c r="J771">
        <v>7</v>
      </c>
      <c r="K771" t="s">
        <v>37</v>
      </c>
      <c r="L771" s="1">
        <v>44751</v>
      </c>
      <c r="M771" t="s">
        <v>91</v>
      </c>
      <c r="N771" t="s">
        <v>23</v>
      </c>
      <c r="O771">
        <v>3178.9450000000002</v>
      </c>
      <c r="P771">
        <v>288.995</v>
      </c>
      <c r="Q771">
        <v>0.41</v>
      </c>
    </row>
    <row r="772" spans="1:17">
      <c r="A772" t="s">
        <v>55</v>
      </c>
      <c r="B772" t="s">
        <v>25</v>
      </c>
      <c r="C772" t="s">
        <v>35</v>
      </c>
      <c r="D772" t="s">
        <v>20</v>
      </c>
      <c r="E772">
        <v>0.05</v>
      </c>
      <c r="F772">
        <v>15000</v>
      </c>
      <c r="G772">
        <v>2.37</v>
      </c>
      <c r="H772">
        <v>38666</v>
      </c>
      <c r="I772">
        <v>116048</v>
      </c>
      <c r="J772">
        <v>1</v>
      </c>
      <c r="K772" t="s">
        <v>21</v>
      </c>
      <c r="L772" s="1">
        <v>44614</v>
      </c>
      <c r="M772" t="s">
        <v>103</v>
      </c>
      <c r="N772" t="s">
        <v>60</v>
      </c>
      <c r="O772">
        <v>16500</v>
      </c>
      <c r="P772">
        <v>1500</v>
      </c>
      <c r="Q772">
        <v>0.39</v>
      </c>
    </row>
    <row r="773" spans="1:17">
      <c r="A773" t="s">
        <v>55</v>
      </c>
      <c r="B773" t="s">
        <v>25</v>
      </c>
      <c r="C773" t="s">
        <v>40</v>
      </c>
      <c r="D773" t="s">
        <v>36</v>
      </c>
      <c r="E773">
        <v>0.1</v>
      </c>
      <c r="F773">
        <v>9858.69</v>
      </c>
      <c r="G773">
        <v>1.5</v>
      </c>
      <c r="H773">
        <v>25977</v>
      </c>
      <c r="I773">
        <v>78466</v>
      </c>
      <c r="J773">
        <v>4</v>
      </c>
      <c r="K773" t="s">
        <v>37</v>
      </c>
      <c r="L773" s="1">
        <v>44774</v>
      </c>
      <c r="M773" t="s">
        <v>56</v>
      </c>
      <c r="N773" t="s">
        <v>32</v>
      </c>
      <c r="O773">
        <v>10844.558999999999</v>
      </c>
      <c r="P773">
        <v>985.86900000000003</v>
      </c>
      <c r="Q773">
        <v>0.38</v>
      </c>
    </row>
    <row r="774" spans="1:17">
      <c r="A774" t="s">
        <v>55</v>
      </c>
      <c r="B774" t="s">
        <v>34</v>
      </c>
      <c r="C774" t="s">
        <v>35</v>
      </c>
      <c r="D774" t="s">
        <v>36</v>
      </c>
      <c r="E774">
        <v>0.15</v>
      </c>
      <c r="F774">
        <v>11502.98</v>
      </c>
      <c r="G774">
        <v>0.48</v>
      </c>
      <c r="H774">
        <v>30448</v>
      </c>
      <c r="I774">
        <v>91708</v>
      </c>
      <c r="J774">
        <v>1</v>
      </c>
      <c r="K774" t="s">
        <v>46</v>
      </c>
      <c r="L774" s="1">
        <v>44704</v>
      </c>
      <c r="M774" t="s">
        <v>76</v>
      </c>
      <c r="N774" t="s">
        <v>44</v>
      </c>
      <c r="O774">
        <v>12653.278</v>
      </c>
      <c r="P774">
        <v>1150.298</v>
      </c>
      <c r="Q774">
        <v>0.38</v>
      </c>
    </row>
    <row r="775" spans="1:17">
      <c r="A775" t="s">
        <v>33</v>
      </c>
      <c r="B775" t="s">
        <v>18</v>
      </c>
      <c r="C775" t="s">
        <v>19</v>
      </c>
      <c r="D775" t="s">
        <v>50</v>
      </c>
      <c r="E775">
        <v>0.06</v>
      </c>
      <c r="F775">
        <v>4021.21</v>
      </c>
      <c r="G775">
        <v>2.99</v>
      </c>
      <c r="H775">
        <v>10094</v>
      </c>
      <c r="I775">
        <v>31419</v>
      </c>
      <c r="J775">
        <v>8</v>
      </c>
      <c r="K775" t="s">
        <v>21</v>
      </c>
      <c r="L775" s="1">
        <v>44640</v>
      </c>
      <c r="M775" t="s">
        <v>22</v>
      </c>
      <c r="N775" t="s">
        <v>81</v>
      </c>
      <c r="O775">
        <v>4423.3310000000001</v>
      </c>
      <c r="P775">
        <v>402.12099999999998</v>
      </c>
      <c r="Q775">
        <v>0.4</v>
      </c>
    </row>
    <row r="776" spans="1:17">
      <c r="A776" t="s">
        <v>39</v>
      </c>
      <c r="B776" t="s">
        <v>34</v>
      </c>
      <c r="C776" t="s">
        <v>40</v>
      </c>
      <c r="D776" t="s">
        <v>42</v>
      </c>
      <c r="E776">
        <v>0.06</v>
      </c>
      <c r="F776">
        <v>8232.4699999999993</v>
      </c>
      <c r="G776">
        <v>0.13227297511587399</v>
      </c>
      <c r="H776">
        <v>12656</v>
      </c>
      <c r="I776">
        <v>42192</v>
      </c>
      <c r="J776">
        <v>1</v>
      </c>
      <c r="K776" t="s">
        <v>51</v>
      </c>
      <c r="L776" s="1">
        <v>44863</v>
      </c>
      <c r="M776" t="s">
        <v>72</v>
      </c>
      <c r="N776" t="s">
        <v>57</v>
      </c>
      <c r="O776">
        <v>9055.7170000000006</v>
      </c>
      <c r="P776">
        <v>823.24700000000098</v>
      </c>
      <c r="Q776">
        <v>0.65</v>
      </c>
    </row>
    <row r="777" spans="1:17">
      <c r="A777" t="s">
        <v>33</v>
      </c>
      <c r="B777" t="s">
        <v>25</v>
      </c>
      <c r="C777" t="s">
        <v>35</v>
      </c>
      <c r="D777" t="s">
        <v>20</v>
      </c>
      <c r="E777">
        <v>7.0000000000000007E-2</v>
      </c>
      <c r="F777">
        <v>12417.71</v>
      </c>
      <c r="G777">
        <v>5.5</v>
      </c>
      <c r="H777">
        <v>32874</v>
      </c>
      <c r="I777">
        <v>98893</v>
      </c>
      <c r="J777">
        <v>8</v>
      </c>
      <c r="K777" t="s">
        <v>53</v>
      </c>
      <c r="L777" s="1">
        <v>44893</v>
      </c>
      <c r="M777" t="s">
        <v>104</v>
      </c>
      <c r="N777" t="s">
        <v>41</v>
      </c>
      <c r="O777">
        <v>13659.481</v>
      </c>
      <c r="P777">
        <v>1241.771</v>
      </c>
      <c r="Q777">
        <v>0.38</v>
      </c>
    </row>
    <row r="778" spans="1:17">
      <c r="A778" t="s">
        <v>55</v>
      </c>
      <c r="B778" t="s">
        <v>34</v>
      </c>
      <c r="C778" t="s">
        <v>30</v>
      </c>
      <c r="D778" t="s">
        <v>50</v>
      </c>
      <c r="E778">
        <v>0.11</v>
      </c>
      <c r="F778">
        <v>6090.78</v>
      </c>
      <c r="G778">
        <v>1.44</v>
      </c>
      <c r="H778">
        <v>15747</v>
      </c>
      <c r="I778">
        <v>48164</v>
      </c>
      <c r="J778">
        <v>1</v>
      </c>
      <c r="K778" t="s">
        <v>37</v>
      </c>
      <c r="L778" s="1">
        <v>44851</v>
      </c>
      <c r="M778" t="s">
        <v>91</v>
      </c>
      <c r="N778" t="s">
        <v>57</v>
      </c>
      <c r="O778">
        <v>6699.8580000000002</v>
      </c>
      <c r="P778">
        <v>609.07799999999997</v>
      </c>
      <c r="Q778">
        <v>0.39</v>
      </c>
    </row>
    <row r="779" spans="1:17">
      <c r="A779" t="s">
        <v>49</v>
      </c>
      <c r="B779" t="s">
        <v>34</v>
      </c>
      <c r="C779" t="s">
        <v>30</v>
      </c>
      <c r="D779" t="s">
        <v>20</v>
      </c>
      <c r="E779">
        <v>7.0000000000000007E-2</v>
      </c>
      <c r="F779">
        <v>5089.6899999999996</v>
      </c>
      <c r="G779">
        <v>4.43</v>
      </c>
      <c r="H779">
        <v>13019</v>
      </c>
      <c r="I779">
        <v>40083</v>
      </c>
      <c r="J779">
        <v>4</v>
      </c>
      <c r="K779" t="s">
        <v>51</v>
      </c>
      <c r="L779" s="1">
        <v>44586</v>
      </c>
      <c r="M779" t="s">
        <v>75</v>
      </c>
      <c r="N779" t="s">
        <v>27</v>
      </c>
      <c r="O779">
        <v>5598.6589999999997</v>
      </c>
      <c r="P779">
        <v>508.96899999999999</v>
      </c>
      <c r="Q779">
        <v>0.39</v>
      </c>
    </row>
    <row r="780" spans="1:17">
      <c r="A780" t="s">
        <v>33</v>
      </c>
      <c r="B780" t="s">
        <v>18</v>
      </c>
      <c r="C780" t="s">
        <v>19</v>
      </c>
      <c r="D780" t="s">
        <v>42</v>
      </c>
      <c r="E780">
        <v>0.04</v>
      </c>
      <c r="F780">
        <v>978.06</v>
      </c>
      <c r="G780">
        <v>1.9662199003710999E-2</v>
      </c>
      <c r="H780">
        <v>1657</v>
      </c>
      <c r="I780">
        <v>6377</v>
      </c>
      <c r="J780">
        <v>1</v>
      </c>
      <c r="K780" t="s">
        <v>37</v>
      </c>
      <c r="L780" s="1">
        <v>44653</v>
      </c>
      <c r="M780" t="s">
        <v>74</v>
      </c>
      <c r="N780" t="s">
        <v>73</v>
      </c>
      <c r="O780">
        <v>1075.866</v>
      </c>
      <c r="P780">
        <v>97.805999999999997</v>
      </c>
      <c r="Q780">
        <v>0.59</v>
      </c>
    </row>
    <row r="781" spans="1:17">
      <c r="A781" t="s">
        <v>17</v>
      </c>
      <c r="B781" t="s">
        <v>25</v>
      </c>
      <c r="C781" t="s">
        <v>30</v>
      </c>
      <c r="D781" t="s">
        <v>20</v>
      </c>
      <c r="E781">
        <v>0.14000000000000001</v>
      </c>
      <c r="F781">
        <v>7580.69</v>
      </c>
      <c r="G781">
        <v>3.26</v>
      </c>
      <c r="H781">
        <v>19765</v>
      </c>
      <c r="I781">
        <v>60064</v>
      </c>
      <c r="J781">
        <v>10</v>
      </c>
      <c r="K781" t="s">
        <v>37</v>
      </c>
      <c r="L781" s="1">
        <v>44587</v>
      </c>
      <c r="M781" t="s">
        <v>100</v>
      </c>
      <c r="N781" t="s">
        <v>27</v>
      </c>
      <c r="O781">
        <v>8338.759</v>
      </c>
      <c r="P781">
        <v>758.06899999999996</v>
      </c>
      <c r="Q781">
        <v>0.38</v>
      </c>
    </row>
    <row r="782" spans="1:17">
      <c r="A782" t="s">
        <v>45</v>
      </c>
      <c r="B782" t="s">
        <v>34</v>
      </c>
      <c r="C782" t="s">
        <v>30</v>
      </c>
      <c r="D782" t="s">
        <v>20</v>
      </c>
      <c r="E782">
        <v>0.06</v>
      </c>
      <c r="F782">
        <v>6123.01</v>
      </c>
      <c r="G782">
        <v>5.54</v>
      </c>
      <c r="H782">
        <v>15829</v>
      </c>
      <c r="I782">
        <v>48407</v>
      </c>
      <c r="J782">
        <v>3</v>
      </c>
      <c r="K782" t="s">
        <v>37</v>
      </c>
      <c r="L782" s="1">
        <v>44590</v>
      </c>
      <c r="M782" t="s">
        <v>94</v>
      </c>
      <c r="N782" t="s">
        <v>27</v>
      </c>
      <c r="O782">
        <v>6735.3109999999997</v>
      </c>
      <c r="P782">
        <v>612.30100000000004</v>
      </c>
      <c r="Q782">
        <v>0.39</v>
      </c>
    </row>
    <row r="783" spans="1:17">
      <c r="A783" t="s">
        <v>55</v>
      </c>
      <c r="B783" t="s">
        <v>29</v>
      </c>
      <c r="C783" t="s">
        <v>40</v>
      </c>
      <c r="D783" t="s">
        <v>50</v>
      </c>
      <c r="E783">
        <v>0.05</v>
      </c>
      <c r="F783">
        <v>10702.25</v>
      </c>
      <c r="G783">
        <v>3.06</v>
      </c>
      <c r="H783">
        <v>28271</v>
      </c>
      <c r="I783">
        <v>85258</v>
      </c>
      <c r="J783">
        <v>8</v>
      </c>
      <c r="K783" t="s">
        <v>51</v>
      </c>
      <c r="L783" s="1">
        <v>44780</v>
      </c>
      <c r="M783" t="s">
        <v>52</v>
      </c>
      <c r="N783" t="s">
        <v>32</v>
      </c>
      <c r="O783">
        <v>11772.475</v>
      </c>
      <c r="P783">
        <v>1070.2249999999999</v>
      </c>
      <c r="Q783">
        <v>0.38</v>
      </c>
    </row>
    <row r="784" spans="1:17">
      <c r="A784" t="s">
        <v>45</v>
      </c>
      <c r="B784" t="s">
        <v>29</v>
      </c>
      <c r="C784" t="s">
        <v>19</v>
      </c>
      <c r="D784" t="s">
        <v>42</v>
      </c>
      <c r="E784">
        <v>0.01</v>
      </c>
      <c r="F784">
        <v>3919.11</v>
      </c>
      <c r="G784">
        <v>8.4011213924947203E-2</v>
      </c>
      <c r="H784">
        <v>5766</v>
      </c>
      <c r="I784">
        <v>19759</v>
      </c>
      <c r="J784">
        <v>1</v>
      </c>
      <c r="K784" t="s">
        <v>51</v>
      </c>
      <c r="L784" s="1">
        <v>44720</v>
      </c>
      <c r="M784" t="s">
        <v>52</v>
      </c>
      <c r="N784" t="s">
        <v>69</v>
      </c>
      <c r="O784">
        <v>4311.0209999999997</v>
      </c>
      <c r="P784">
        <v>391.911</v>
      </c>
      <c r="Q784">
        <v>0.68</v>
      </c>
    </row>
    <row r="785" spans="1:17">
      <c r="A785" t="s">
        <v>17</v>
      </c>
      <c r="B785" t="s">
        <v>29</v>
      </c>
      <c r="C785" t="s">
        <v>30</v>
      </c>
      <c r="D785" t="s">
        <v>20</v>
      </c>
      <c r="E785">
        <v>0.14000000000000001</v>
      </c>
      <c r="F785">
        <v>6037.32</v>
      </c>
      <c r="G785">
        <v>4.03</v>
      </c>
      <c r="H785">
        <v>15602</v>
      </c>
      <c r="I785">
        <v>47734</v>
      </c>
      <c r="J785">
        <v>6</v>
      </c>
      <c r="K785" t="s">
        <v>21</v>
      </c>
      <c r="L785" s="1">
        <v>44787</v>
      </c>
      <c r="M785" t="s">
        <v>77</v>
      </c>
      <c r="N785" t="s">
        <v>32</v>
      </c>
      <c r="O785">
        <v>6641.0519999999997</v>
      </c>
      <c r="P785">
        <v>603.73199999999997</v>
      </c>
      <c r="Q785">
        <v>0.39</v>
      </c>
    </row>
    <row r="786" spans="1:17">
      <c r="A786" t="s">
        <v>28</v>
      </c>
      <c r="B786" t="s">
        <v>18</v>
      </c>
      <c r="C786" t="s">
        <v>19</v>
      </c>
      <c r="D786" t="s">
        <v>20</v>
      </c>
      <c r="E786">
        <v>0.14000000000000001</v>
      </c>
      <c r="F786">
        <v>2771.42</v>
      </c>
      <c r="G786">
        <v>5.47</v>
      </c>
      <c r="H786">
        <v>6785</v>
      </c>
      <c r="I786">
        <v>21618</v>
      </c>
      <c r="J786">
        <v>10</v>
      </c>
      <c r="K786" t="s">
        <v>46</v>
      </c>
      <c r="L786" s="1">
        <v>44836</v>
      </c>
      <c r="M786" t="s">
        <v>96</v>
      </c>
      <c r="N786" t="s">
        <v>57</v>
      </c>
      <c r="O786">
        <v>3048.5619999999999</v>
      </c>
      <c r="P786">
        <v>277.142</v>
      </c>
      <c r="Q786">
        <v>0.41</v>
      </c>
    </row>
    <row r="787" spans="1:17">
      <c r="A787" t="s">
        <v>24</v>
      </c>
      <c r="B787" t="s">
        <v>25</v>
      </c>
      <c r="C787" t="s">
        <v>19</v>
      </c>
      <c r="D787" t="s">
        <v>36</v>
      </c>
      <c r="E787">
        <v>0.05</v>
      </c>
      <c r="F787">
        <v>1462.5</v>
      </c>
      <c r="G787">
        <v>6.31</v>
      </c>
      <c r="H787">
        <v>3731</v>
      </c>
      <c r="I787">
        <v>12571</v>
      </c>
      <c r="J787">
        <v>8</v>
      </c>
      <c r="K787" t="s">
        <v>46</v>
      </c>
      <c r="L787" s="1">
        <v>44643</v>
      </c>
      <c r="M787" t="s">
        <v>76</v>
      </c>
      <c r="N787" t="s">
        <v>81</v>
      </c>
      <c r="O787">
        <v>1608.75</v>
      </c>
      <c r="P787">
        <v>146.25</v>
      </c>
      <c r="Q787">
        <v>0.39</v>
      </c>
    </row>
    <row r="788" spans="1:17">
      <c r="A788" t="s">
        <v>39</v>
      </c>
      <c r="B788" t="s">
        <v>29</v>
      </c>
      <c r="C788" t="s">
        <v>40</v>
      </c>
      <c r="D788" t="s">
        <v>50</v>
      </c>
      <c r="E788">
        <v>0.09</v>
      </c>
      <c r="F788">
        <v>8988.9500000000007</v>
      </c>
      <c r="G788">
        <v>5.69</v>
      </c>
      <c r="H788">
        <v>23597</v>
      </c>
      <c r="I788">
        <v>71415</v>
      </c>
      <c r="J788">
        <v>1</v>
      </c>
      <c r="K788" t="s">
        <v>21</v>
      </c>
      <c r="L788" s="1">
        <v>44669</v>
      </c>
      <c r="M788" t="s">
        <v>48</v>
      </c>
      <c r="N788" t="s">
        <v>73</v>
      </c>
      <c r="O788">
        <v>9887.8449999999993</v>
      </c>
      <c r="P788">
        <v>898.89499999999998</v>
      </c>
      <c r="Q788">
        <v>0.38</v>
      </c>
    </row>
    <row r="789" spans="1:17">
      <c r="A789" t="s">
        <v>24</v>
      </c>
      <c r="B789" t="s">
        <v>29</v>
      </c>
      <c r="C789" t="s">
        <v>30</v>
      </c>
      <c r="D789" t="s">
        <v>42</v>
      </c>
      <c r="E789">
        <v>0.15</v>
      </c>
      <c r="F789">
        <v>6922.67</v>
      </c>
      <c r="G789">
        <v>0.72928883577401005</v>
      </c>
      <c r="H789">
        <v>10566</v>
      </c>
      <c r="I789">
        <v>35385</v>
      </c>
      <c r="J789">
        <v>1</v>
      </c>
      <c r="K789" t="s">
        <v>21</v>
      </c>
      <c r="L789" s="1">
        <v>44712</v>
      </c>
      <c r="M789" t="s">
        <v>80</v>
      </c>
      <c r="N789" t="s">
        <v>44</v>
      </c>
      <c r="O789">
        <v>7614.9369999999999</v>
      </c>
      <c r="P789">
        <v>692.26700000000005</v>
      </c>
      <c r="Q789">
        <v>0.66</v>
      </c>
    </row>
    <row r="790" spans="1:17">
      <c r="A790" t="s">
        <v>33</v>
      </c>
      <c r="B790" t="s">
        <v>18</v>
      </c>
      <c r="C790" t="s">
        <v>40</v>
      </c>
      <c r="D790" t="s">
        <v>42</v>
      </c>
      <c r="E790">
        <v>0.09</v>
      </c>
      <c r="F790">
        <v>10087.780000000001</v>
      </c>
      <c r="G790">
        <v>0.3557070547035</v>
      </c>
      <c r="H790">
        <v>15618</v>
      </c>
      <c r="I790">
        <v>51835</v>
      </c>
      <c r="J790">
        <v>1</v>
      </c>
      <c r="K790" t="s">
        <v>46</v>
      </c>
      <c r="L790" s="1">
        <v>44655</v>
      </c>
      <c r="M790" t="s">
        <v>70</v>
      </c>
      <c r="N790" t="s">
        <v>73</v>
      </c>
      <c r="O790">
        <v>11096.558000000001</v>
      </c>
      <c r="P790">
        <v>1008.778</v>
      </c>
      <c r="Q790">
        <v>0.65</v>
      </c>
    </row>
    <row r="791" spans="1:17">
      <c r="A791" t="s">
        <v>33</v>
      </c>
      <c r="B791" t="s">
        <v>29</v>
      </c>
      <c r="C791" t="s">
        <v>19</v>
      </c>
      <c r="D791" t="s">
        <v>42</v>
      </c>
      <c r="E791">
        <v>0.1</v>
      </c>
      <c r="F791">
        <v>1469.99</v>
      </c>
      <c r="G791">
        <v>1.2208438108667801</v>
      </c>
      <c r="H791">
        <v>2200</v>
      </c>
      <c r="I791">
        <v>8146</v>
      </c>
      <c r="J791">
        <v>1</v>
      </c>
      <c r="K791" t="s">
        <v>21</v>
      </c>
      <c r="L791" s="1">
        <v>44893</v>
      </c>
      <c r="M791" t="s">
        <v>31</v>
      </c>
      <c r="N791" t="s">
        <v>41</v>
      </c>
      <c r="O791">
        <v>1616.989</v>
      </c>
      <c r="P791">
        <v>146.999</v>
      </c>
      <c r="Q791">
        <v>0.67</v>
      </c>
    </row>
    <row r="792" spans="1:17">
      <c r="A792" t="s">
        <v>17</v>
      </c>
      <c r="B792" t="s">
        <v>34</v>
      </c>
      <c r="C792" t="s">
        <v>19</v>
      </c>
      <c r="D792" t="s">
        <v>42</v>
      </c>
      <c r="E792">
        <v>0.03</v>
      </c>
      <c r="F792">
        <v>4016.99</v>
      </c>
      <c r="G792">
        <v>0.17695979103339901</v>
      </c>
      <c r="H792">
        <v>5922</v>
      </c>
      <c r="I792">
        <v>20265</v>
      </c>
      <c r="J792">
        <v>1</v>
      </c>
      <c r="K792" t="s">
        <v>46</v>
      </c>
      <c r="L792" s="1">
        <v>44686</v>
      </c>
      <c r="M792" t="s">
        <v>87</v>
      </c>
      <c r="N792" t="s">
        <v>44</v>
      </c>
      <c r="O792">
        <v>4418.6890000000003</v>
      </c>
      <c r="P792">
        <v>401.69900000000001</v>
      </c>
      <c r="Q792">
        <v>0.68</v>
      </c>
    </row>
    <row r="793" spans="1:17">
      <c r="A793" t="s">
        <v>24</v>
      </c>
      <c r="B793" t="s">
        <v>18</v>
      </c>
      <c r="C793" t="s">
        <v>40</v>
      </c>
      <c r="D793" t="s">
        <v>50</v>
      </c>
      <c r="E793">
        <v>0.08</v>
      </c>
      <c r="F793">
        <v>11011.11</v>
      </c>
      <c r="G793">
        <v>2.08</v>
      </c>
      <c r="H793">
        <v>29097</v>
      </c>
      <c r="I793">
        <v>87707</v>
      </c>
      <c r="J793">
        <v>4</v>
      </c>
      <c r="K793" t="s">
        <v>53</v>
      </c>
      <c r="L793" s="1">
        <v>44908</v>
      </c>
      <c r="M793" t="s">
        <v>84</v>
      </c>
      <c r="N793" t="s">
        <v>63</v>
      </c>
      <c r="O793">
        <v>12112.221</v>
      </c>
      <c r="P793">
        <v>1101.1110000000001</v>
      </c>
      <c r="Q793">
        <v>0.38</v>
      </c>
    </row>
    <row r="794" spans="1:17">
      <c r="A794" t="s">
        <v>39</v>
      </c>
      <c r="B794" t="s">
        <v>18</v>
      </c>
      <c r="C794" t="s">
        <v>35</v>
      </c>
      <c r="D794" t="s">
        <v>50</v>
      </c>
      <c r="E794">
        <v>0.11</v>
      </c>
      <c r="F794">
        <v>14745.15</v>
      </c>
      <c r="G794">
        <v>6.6</v>
      </c>
      <c r="H794">
        <v>38037</v>
      </c>
      <c r="I794">
        <v>114187</v>
      </c>
      <c r="J794">
        <v>3</v>
      </c>
      <c r="K794" t="s">
        <v>51</v>
      </c>
      <c r="L794" s="1">
        <v>44605</v>
      </c>
      <c r="M794" t="s">
        <v>85</v>
      </c>
      <c r="N794" t="s">
        <v>60</v>
      </c>
      <c r="O794">
        <v>16219.665000000001</v>
      </c>
      <c r="P794">
        <v>1474.5150000000001</v>
      </c>
      <c r="Q794">
        <v>0.39</v>
      </c>
    </row>
    <row r="795" spans="1:17">
      <c r="A795" t="s">
        <v>67</v>
      </c>
      <c r="B795" t="s">
        <v>18</v>
      </c>
      <c r="C795" t="s">
        <v>30</v>
      </c>
      <c r="D795" t="s">
        <v>36</v>
      </c>
      <c r="E795">
        <v>0.14000000000000001</v>
      </c>
      <c r="F795">
        <v>6898.63</v>
      </c>
      <c r="G795">
        <v>4.72</v>
      </c>
      <c r="H795">
        <v>17921</v>
      </c>
      <c r="I795">
        <v>54602</v>
      </c>
      <c r="J795">
        <v>4</v>
      </c>
      <c r="K795" t="s">
        <v>51</v>
      </c>
      <c r="L795" s="1">
        <v>44787</v>
      </c>
      <c r="M795" t="s">
        <v>92</v>
      </c>
      <c r="N795" t="s">
        <v>32</v>
      </c>
      <c r="O795">
        <v>7588.4930000000004</v>
      </c>
      <c r="P795">
        <v>689.86300000000006</v>
      </c>
      <c r="Q795">
        <v>0.38</v>
      </c>
    </row>
    <row r="796" spans="1:17">
      <c r="A796" t="s">
        <v>24</v>
      </c>
      <c r="B796" t="s">
        <v>18</v>
      </c>
      <c r="C796" t="s">
        <v>19</v>
      </c>
      <c r="D796" t="s">
        <v>50</v>
      </c>
      <c r="E796">
        <v>0.1</v>
      </c>
      <c r="F796">
        <v>2138.84</v>
      </c>
      <c r="G796">
        <v>1.86</v>
      </c>
      <c r="H796">
        <v>5235</v>
      </c>
      <c r="I796">
        <v>17025</v>
      </c>
      <c r="J796">
        <v>1</v>
      </c>
      <c r="K796" t="s">
        <v>37</v>
      </c>
      <c r="L796" s="1">
        <v>44794</v>
      </c>
      <c r="M796" t="s">
        <v>99</v>
      </c>
      <c r="N796" t="s">
        <v>32</v>
      </c>
      <c r="O796">
        <v>2352.7240000000002</v>
      </c>
      <c r="P796">
        <v>213.88399999999999</v>
      </c>
      <c r="Q796">
        <v>0.41</v>
      </c>
    </row>
    <row r="797" spans="1:17">
      <c r="A797" t="s">
        <v>49</v>
      </c>
      <c r="B797" t="s">
        <v>25</v>
      </c>
      <c r="C797" t="s">
        <v>19</v>
      </c>
      <c r="D797" t="s">
        <v>42</v>
      </c>
      <c r="E797">
        <v>0.04</v>
      </c>
      <c r="F797">
        <v>500</v>
      </c>
      <c r="G797">
        <v>7.8648796014844202E-2</v>
      </c>
      <c r="H797">
        <v>609</v>
      </c>
      <c r="I797">
        <v>2965</v>
      </c>
      <c r="J797">
        <v>1</v>
      </c>
      <c r="K797" t="s">
        <v>46</v>
      </c>
      <c r="L797" s="1">
        <v>44820</v>
      </c>
      <c r="M797" t="s">
        <v>93</v>
      </c>
      <c r="N797" t="s">
        <v>65</v>
      </c>
      <c r="O797">
        <v>550</v>
      </c>
      <c r="P797">
        <v>50</v>
      </c>
      <c r="Q797">
        <v>0.82</v>
      </c>
    </row>
    <row r="798" spans="1:17">
      <c r="A798" t="s">
        <v>55</v>
      </c>
      <c r="B798" t="s">
        <v>29</v>
      </c>
      <c r="C798" t="s">
        <v>19</v>
      </c>
      <c r="D798" t="s">
        <v>42</v>
      </c>
      <c r="E798">
        <v>0.11</v>
      </c>
      <c r="F798">
        <v>500</v>
      </c>
      <c r="G798">
        <v>0.76861323378143198</v>
      </c>
      <c r="H798">
        <v>1001</v>
      </c>
      <c r="I798">
        <v>4243</v>
      </c>
      <c r="J798">
        <v>1</v>
      </c>
      <c r="K798" t="s">
        <v>37</v>
      </c>
      <c r="L798" s="1">
        <v>44803</v>
      </c>
      <c r="M798" t="s">
        <v>90</v>
      </c>
      <c r="N798" t="s">
        <v>32</v>
      </c>
      <c r="O798">
        <v>550</v>
      </c>
      <c r="P798">
        <v>50</v>
      </c>
      <c r="Q798">
        <v>0.5</v>
      </c>
    </row>
    <row r="799" spans="1:17">
      <c r="A799" t="s">
        <v>67</v>
      </c>
      <c r="B799" t="s">
        <v>18</v>
      </c>
      <c r="C799" t="s">
        <v>40</v>
      </c>
      <c r="D799" t="s">
        <v>42</v>
      </c>
      <c r="E799">
        <v>0.01</v>
      </c>
      <c r="F799">
        <v>8181.2</v>
      </c>
      <c r="G799">
        <v>0.96523522381854299</v>
      </c>
      <c r="H799">
        <v>12575</v>
      </c>
      <c r="I799">
        <v>41930</v>
      </c>
      <c r="J799">
        <v>1</v>
      </c>
      <c r="K799" t="s">
        <v>21</v>
      </c>
      <c r="L799" s="1">
        <v>44830</v>
      </c>
      <c r="M799" t="s">
        <v>71</v>
      </c>
      <c r="N799" t="s">
        <v>65</v>
      </c>
      <c r="O799">
        <v>8999.32</v>
      </c>
      <c r="P799">
        <v>818.11999999999898</v>
      </c>
      <c r="Q799">
        <v>0.65</v>
      </c>
    </row>
    <row r="800" spans="1:17">
      <c r="A800" t="s">
        <v>55</v>
      </c>
      <c r="B800" t="s">
        <v>18</v>
      </c>
      <c r="C800" t="s">
        <v>35</v>
      </c>
      <c r="D800" t="s">
        <v>42</v>
      </c>
      <c r="E800">
        <v>0.08</v>
      </c>
      <c r="F800">
        <v>12146.19</v>
      </c>
      <c r="G800">
        <v>1.31379238797523</v>
      </c>
      <c r="H800">
        <v>18884</v>
      </c>
      <c r="I800">
        <v>62471</v>
      </c>
      <c r="J800">
        <v>1</v>
      </c>
      <c r="K800" t="s">
        <v>46</v>
      </c>
      <c r="L800" s="1">
        <v>44600</v>
      </c>
      <c r="M800" t="s">
        <v>86</v>
      </c>
      <c r="N800" t="s">
        <v>60</v>
      </c>
      <c r="O800">
        <v>13360.808999999999</v>
      </c>
      <c r="P800">
        <v>1214.6189999999999</v>
      </c>
      <c r="Q800">
        <v>0.64</v>
      </c>
    </row>
    <row r="801" spans="1:17">
      <c r="A801" t="s">
        <v>17</v>
      </c>
      <c r="B801" t="s">
        <v>18</v>
      </c>
      <c r="C801" t="s">
        <v>19</v>
      </c>
      <c r="D801" t="s">
        <v>50</v>
      </c>
      <c r="E801">
        <v>0.11</v>
      </c>
      <c r="F801">
        <v>500</v>
      </c>
      <c r="G801">
        <v>4.3499999999999996</v>
      </c>
      <c r="H801">
        <v>948</v>
      </c>
      <c r="I801">
        <v>4329</v>
      </c>
      <c r="J801">
        <v>9</v>
      </c>
      <c r="K801" t="s">
        <v>53</v>
      </c>
      <c r="L801" s="1">
        <v>44832</v>
      </c>
      <c r="M801" t="s">
        <v>82</v>
      </c>
      <c r="N801" t="s">
        <v>65</v>
      </c>
      <c r="O801">
        <v>550</v>
      </c>
      <c r="P801">
        <v>50</v>
      </c>
      <c r="Q801">
        <v>0.53</v>
      </c>
    </row>
    <row r="802" spans="1:17">
      <c r="A802" t="s">
        <v>45</v>
      </c>
      <c r="B802" t="s">
        <v>18</v>
      </c>
      <c r="C802" t="s">
        <v>19</v>
      </c>
      <c r="D802" t="s">
        <v>20</v>
      </c>
      <c r="E802">
        <v>0.08</v>
      </c>
      <c r="F802">
        <v>3910.07</v>
      </c>
      <c r="G802">
        <v>5.8</v>
      </c>
      <c r="H802">
        <v>9792</v>
      </c>
      <c r="I802">
        <v>30525</v>
      </c>
      <c r="J802">
        <v>3</v>
      </c>
      <c r="K802" t="s">
        <v>46</v>
      </c>
      <c r="L802" s="1">
        <v>44657</v>
      </c>
      <c r="M802" t="s">
        <v>86</v>
      </c>
      <c r="N802" t="s">
        <v>73</v>
      </c>
      <c r="O802">
        <v>4301.0770000000002</v>
      </c>
      <c r="P802">
        <v>391.00700000000001</v>
      </c>
      <c r="Q802">
        <v>0.4</v>
      </c>
    </row>
    <row r="803" spans="1:17">
      <c r="A803" t="s">
        <v>55</v>
      </c>
      <c r="B803" t="s">
        <v>29</v>
      </c>
      <c r="C803" t="s">
        <v>40</v>
      </c>
      <c r="D803" t="s">
        <v>42</v>
      </c>
      <c r="E803">
        <v>7.0000000000000007E-2</v>
      </c>
      <c r="F803">
        <v>8636.2000000000007</v>
      </c>
      <c r="G803">
        <v>0.31102023878597501</v>
      </c>
      <c r="H803">
        <v>13305</v>
      </c>
      <c r="I803">
        <v>44305</v>
      </c>
      <c r="J803">
        <v>1</v>
      </c>
      <c r="K803" t="s">
        <v>37</v>
      </c>
      <c r="L803" s="1">
        <v>44763</v>
      </c>
      <c r="M803" t="s">
        <v>90</v>
      </c>
      <c r="N803" t="s">
        <v>23</v>
      </c>
      <c r="O803">
        <v>9499.82</v>
      </c>
      <c r="P803">
        <v>863.62</v>
      </c>
      <c r="Q803">
        <v>0.65</v>
      </c>
    </row>
    <row r="804" spans="1:17">
      <c r="A804" t="s">
        <v>45</v>
      </c>
      <c r="B804" t="s">
        <v>29</v>
      </c>
      <c r="C804" t="s">
        <v>30</v>
      </c>
      <c r="D804" t="s">
        <v>20</v>
      </c>
      <c r="E804">
        <v>0.14000000000000001</v>
      </c>
      <c r="F804">
        <v>7740.76</v>
      </c>
      <c r="G804">
        <v>4.67</v>
      </c>
      <c r="H804">
        <v>20205</v>
      </c>
      <c r="I804">
        <v>61366</v>
      </c>
      <c r="J804">
        <v>4</v>
      </c>
      <c r="K804" t="s">
        <v>51</v>
      </c>
      <c r="L804" s="1">
        <v>44652</v>
      </c>
      <c r="M804" t="s">
        <v>62</v>
      </c>
      <c r="N804" t="s">
        <v>73</v>
      </c>
      <c r="O804">
        <v>8514.8359999999993</v>
      </c>
      <c r="P804">
        <v>774.07600000000002</v>
      </c>
      <c r="Q804">
        <v>0.38</v>
      </c>
    </row>
    <row r="805" spans="1:17">
      <c r="A805" t="s">
        <v>24</v>
      </c>
      <c r="B805" t="s">
        <v>18</v>
      </c>
      <c r="C805" t="s">
        <v>35</v>
      </c>
      <c r="D805" t="s">
        <v>36</v>
      </c>
      <c r="E805">
        <v>0.13</v>
      </c>
      <c r="F805">
        <v>13311.4</v>
      </c>
      <c r="G805">
        <v>7.67</v>
      </c>
      <c r="H805">
        <v>35136</v>
      </c>
      <c r="I805">
        <v>105595</v>
      </c>
      <c r="J805">
        <v>3</v>
      </c>
      <c r="K805" t="s">
        <v>37</v>
      </c>
      <c r="L805" s="1">
        <v>44624</v>
      </c>
      <c r="M805" t="s">
        <v>90</v>
      </c>
      <c r="N805" t="s">
        <v>81</v>
      </c>
      <c r="O805">
        <v>14642.54</v>
      </c>
      <c r="P805">
        <v>1331.14</v>
      </c>
      <c r="Q805">
        <v>0.38</v>
      </c>
    </row>
    <row r="806" spans="1:17">
      <c r="A806" t="s">
        <v>28</v>
      </c>
      <c r="B806" t="s">
        <v>34</v>
      </c>
      <c r="C806" t="s">
        <v>40</v>
      </c>
      <c r="D806" t="s">
        <v>36</v>
      </c>
      <c r="E806">
        <v>0.02</v>
      </c>
      <c r="F806">
        <v>10167.24</v>
      </c>
      <c r="G806">
        <v>5.38</v>
      </c>
      <c r="H806">
        <v>26812</v>
      </c>
      <c r="I806">
        <v>80937</v>
      </c>
      <c r="J806">
        <v>6</v>
      </c>
      <c r="K806" t="s">
        <v>46</v>
      </c>
      <c r="L806" s="1">
        <v>44623</v>
      </c>
      <c r="M806" t="s">
        <v>93</v>
      </c>
      <c r="N806" t="s">
        <v>81</v>
      </c>
      <c r="O806">
        <v>11183.964</v>
      </c>
      <c r="P806">
        <v>1016.724</v>
      </c>
      <c r="Q806">
        <v>0.38</v>
      </c>
    </row>
    <row r="807" spans="1:17">
      <c r="A807" t="s">
        <v>45</v>
      </c>
      <c r="B807" t="s">
        <v>25</v>
      </c>
      <c r="C807" t="s">
        <v>40</v>
      </c>
      <c r="D807" t="s">
        <v>42</v>
      </c>
      <c r="E807">
        <v>0.06</v>
      </c>
      <c r="F807">
        <v>9459.7199999999993</v>
      </c>
      <c r="G807">
        <v>1.1457699601253399</v>
      </c>
      <c r="H807">
        <v>14603</v>
      </c>
      <c r="I807">
        <v>48533</v>
      </c>
      <c r="J807">
        <v>1</v>
      </c>
      <c r="K807" t="s">
        <v>53</v>
      </c>
      <c r="L807" s="1">
        <v>44737</v>
      </c>
      <c r="M807" t="s">
        <v>68</v>
      </c>
      <c r="N807" t="s">
        <v>69</v>
      </c>
      <c r="O807">
        <v>10405.691999999999</v>
      </c>
      <c r="P807">
        <v>945.972000000001</v>
      </c>
      <c r="Q807">
        <v>0.65</v>
      </c>
    </row>
    <row r="808" spans="1:17">
      <c r="A808" t="s">
        <v>55</v>
      </c>
      <c r="B808" t="s">
        <v>29</v>
      </c>
      <c r="C808" t="s">
        <v>30</v>
      </c>
      <c r="D808" t="s">
        <v>50</v>
      </c>
      <c r="E808">
        <v>0.04</v>
      </c>
      <c r="F808">
        <v>5877.2</v>
      </c>
      <c r="G808">
        <v>3.36</v>
      </c>
      <c r="H808">
        <v>15165</v>
      </c>
      <c r="I808">
        <v>46438</v>
      </c>
      <c r="J808">
        <v>6</v>
      </c>
      <c r="K808" t="s">
        <v>51</v>
      </c>
      <c r="L808" s="1">
        <v>44857</v>
      </c>
      <c r="M808" t="s">
        <v>52</v>
      </c>
      <c r="N808" t="s">
        <v>57</v>
      </c>
      <c r="O808">
        <v>6464.92</v>
      </c>
      <c r="P808">
        <v>587.72</v>
      </c>
      <c r="Q808">
        <v>0.39</v>
      </c>
    </row>
    <row r="809" spans="1:17">
      <c r="A809" t="s">
        <v>67</v>
      </c>
      <c r="B809" t="s">
        <v>29</v>
      </c>
      <c r="C809" t="s">
        <v>35</v>
      </c>
      <c r="D809" t="s">
        <v>20</v>
      </c>
      <c r="E809">
        <v>0.11</v>
      </c>
      <c r="F809">
        <v>11910.79</v>
      </c>
      <c r="G809">
        <v>0.38</v>
      </c>
      <c r="H809">
        <v>31537</v>
      </c>
      <c r="I809">
        <v>94933</v>
      </c>
      <c r="J809">
        <v>6</v>
      </c>
      <c r="K809" t="s">
        <v>51</v>
      </c>
      <c r="L809" s="1">
        <v>44567</v>
      </c>
      <c r="M809" t="s">
        <v>92</v>
      </c>
      <c r="N809" t="s">
        <v>27</v>
      </c>
      <c r="O809">
        <v>13101.869000000001</v>
      </c>
      <c r="P809">
        <v>1191.079</v>
      </c>
      <c r="Q809">
        <v>0.38</v>
      </c>
    </row>
    <row r="810" spans="1:17">
      <c r="A810" t="s">
        <v>17</v>
      </c>
      <c r="B810" t="s">
        <v>18</v>
      </c>
      <c r="C810" t="s">
        <v>19</v>
      </c>
      <c r="D810" t="s">
        <v>50</v>
      </c>
      <c r="E810">
        <v>0.09</v>
      </c>
      <c r="F810">
        <v>1504.08</v>
      </c>
      <c r="G810">
        <v>7.61</v>
      </c>
      <c r="H810">
        <v>3814</v>
      </c>
      <c r="I810">
        <v>12818</v>
      </c>
      <c r="J810">
        <v>3</v>
      </c>
      <c r="K810" t="s">
        <v>46</v>
      </c>
      <c r="L810" s="1">
        <v>44722</v>
      </c>
      <c r="M810" t="s">
        <v>70</v>
      </c>
      <c r="N810" t="s">
        <v>69</v>
      </c>
      <c r="O810">
        <v>1654.4880000000001</v>
      </c>
      <c r="P810">
        <v>150.40799999999999</v>
      </c>
      <c r="Q810">
        <v>0.39</v>
      </c>
    </row>
    <row r="811" spans="1:17">
      <c r="A811" t="s">
        <v>28</v>
      </c>
      <c r="B811" t="s">
        <v>25</v>
      </c>
      <c r="C811" t="s">
        <v>30</v>
      </c>
      <c r="D811" t="s">
        <v>20</v>
      </c>
      <c r="E811">
        <v>0.15</v>
      </c>
      <c r="F811">
        <v>7448.26</v>
      </c>
      <c r="G811">
        <v>4.51</v>
      </c>
      <c r="H811">
        <v>19397</v>
      </c>
      <c r="I811">
        <v>58975</v>
      </c>
      <c r="J811">
        <v>8</v>
      </c>
      <c r="K811" t="s">
        <v>53</v>
      </c>
      <c r="L811" s="1">
        <v>44685</v>
      </c>
      <c r="M811" t="s">
        <v>58</v>
      </c>
      <c r="N811" t="s">
        <v>44</v>
      </c>
      <c r="O811">
        <v>8193.0859999999993</v>
      </c>
      <c r="P811">
        <v>744.82600000000002</v>
      </c>
      <c r="Q811">
        <v>0.38</v>
      </c>
    </row>
    <row r="812" spans="1:17">
      <c r="A812" t="s">
        <v>49</v>
      </c>
      <c r="B812" t="s">
        <v>25</v>
      </c>
      <c r="C812" t="s">
        <v>19</v>
      </c>
      <c r="D812" t="s">
        <v>42</v>
      </c>
      <c r="E812">
        <v>0.1</v>
      </c>
      <c r="F812">
        <v>705.06</v>
      </c>
      <c r="G812">
        <v>0.33246991042638702</v>
      </c>
      <c r="H812">
        <v>1394</v>
      </c>
      <c r="I812">
        <v>5521</v>
      </c>
      <c r="J812">
        <v>1</v>
      </c>
      <c r="K812" t="s">
        <v>46</v>
      </c>
      <c r="L812" s="1">
        <v>44884</v>
      </c>
      <c r="M812" t="s">
        <v>96</v>
      </c>
      <c r="N812" t="s">
        <v>41</v>
      </c>
      <c r="O812">
        <v>775.56600000000003</v>
      </c>
      <c r="P812">
        <v>70.506</v>
      </c>
      <c r="Q812">
        <v>0.51</v>
      </c>
    </row>
    <row r="813" spans="1:17">
      <c r="A813" t="s">
        <v>49</v>
      </c>
      <c r="B813" t="s">
        <v>34</v>
      </c>
      <c r="C813" t="s">
        <v>40</v>
      </c>
      <c r="D813" t="s">
        <v>42</v>
      </c>
      <c r="E813">
        <v>0.14000000000000001</v>
      </c>
      <c r="F813">
        <v>9911.67</v>
      </c>
      <c r="G813">
        <v>0.45759299499545703</v>
      </c>
      <c r="H813">
        <v>15335</v>
      </c>
      <c r="I813">
        <v>50916</v>
      </c>
      <c r="J813">
        <v>1</v>
      </c>
      <c r="K813" t="s">
        <v>37</v>
      </c>
      <c r="L813" s="1">
        <v>44805</v>
      </c>
      <c r="M813" t="s">
        <v>94</v>
      </c>
      <c r="N813" t="s">
        <v>65</v>
      </c>
      <c r="O813">
        <v>10902.837</v>
      </c>
      <c r="P813">
        <v>991.16700000000105</v>
      </c>
      <c r="Q813">
        <v>0.65</v>
      </c>
    </row>
    <row r="814" spans="1:17">
      <c r="A814" t="s">
        <v>55</v>
      </c>
      <c r="B814" t="s">
        <v>29</v>
      </c>
      <c r="C814" t="s">
        <v>19</v>
      </c>
      <c r="D814" t="s">
        <v>50</v>
      </c>
      <c r="E814">
        <v>0.12</v>
      </c>
      <c r="F814">
        <v>4100.13</v>
      </c>
      <c r="G814">
        <v>4.22</v>
      </c>
      <c r="H814">
        <v>10315</v>
      </c>
      <c r="I814">
        <v>32073</v>
      </c>
      <c r="J814">
        <v>10</v>
      </c>
      <c r="K814" t="s">
        <v>53</v>
      </c>
      <c r="L814" s="1">
        <v>44704</v>
      </c>
      <c r="M814" t="s">
        <v>66</v>
      </c>
      <c r="N814" t="s">
        <v>44</v>
      </c>
      <c r="O814">
        <v>4510.143</v>
      </c>
      <c r="P814">
        <v>410.01299999999998</v>
      </c>
      <c r="Q814">
        <v>0.4</v>
      </c>
    </row>
    <row r="815" spans="1:17">
      <c r="A815" t="s">
        <v>55</v>
      </c>
      <c r="B815" t="s">
        <v>18</v>
      </c>
      <c r="C815" t="s">
        <v>19</v>
      </c>
      <c r="D815" t="s">
        <v>20</v>
      </c>
      <c r="E815">
        <v>0.02</v>
      </c>
      <c r="F815">
        <v>931.75</v>
      </c>
      <c r="G815">
        <v>6.72</v>
      </c>
      <c r="H815">
        <v>2741</v>
      </c>
      <c r="I815">
        <v>9639</v>
      </c>
      <c r="J815">
        <v>10</v>
      </c>
      <c r="K815" t="s">
        <v>46</v>
      </c>
      <c r="L815" s="1">
        <v>44657</v>
      </c>
      <c r="M815" t="s">
        <v>95</v>
      </c>
      <c r="N815" t="s">
        <v>73</v>
      </c>
      <c r="O815">
        <v>1024.925</v>
      </c>
      <c r="P815">
        <v>93.175000000000097</v>
      </c>
      <c r="Q815">
        <v>0.34</v>
      </c>
    </row>
    <row r="816" spans="1:17">
      <c r="A816" t="s">
        <v>55</v>
      </c>
      <c r="B816" t="s">
        <v>34</v>
      </c>
      <c r="C816" t="s">
        <v>35</v>
      </c>
      <c r="D816" t="s">
        <v>36</v>
      </c>
      <c r="E816">
        <v>0.06</v>
      </c>
      <c r="F816">
        <v>12243.94</v>
      </c>
      <c r="G816">
        <v>0.53</v>
      </c>
      <c r="H816">
        <v>32418</v>
      </c>
      <c r="I816">
        <v>97542</v>
      </c>
      <c r="J816">
        <v>6</v>
      </c>
      <c r="K816" t="s">
        <v>21</v>
      </c>
      <c r="L816" s="1">
        <v>44887</v>
      </c>
      <c r="M816" t="s">
        <v>80</v>
      </c>
      <c r="N816" t="s">
        <v>41</v>
      </c>
      <c r="O816">
        <v>13468.334000000001</v>
      </c>
      <c r="P816">
        <v>1224.394</v>
      </c>
      <c r="Q816">
        <v>0.38</v>
      </c>
    </row>
    <row r="817" spans="1:17">
      <c r="A817" t="s">
        <v>33</v>
      </c>
      <c r="B817" t="s">
        <v>29</v>
      </c>
      <c r="C817" t="s">
        <v>35</v>
      </c>
      <c r="D817" t="s">
        <v>20</v>
      </c>
      <c r="E817">
        <v>0.14000000000000001</v>
      </c>
      <c r="F817">
        <v>12483.97</v>
      </c>
      <c r="G817">
        <v>5.52</v>
      </c>
      <c r="H817">
        <v>33042</v>
      </c>
      <c r="I817">
        <v>99391</v>
      </c>
      <c r="J817">
        <v>3</v>
      </c>
      <c r="K817" t="s">
        <v>53</v>
      </c>
      <c r="L817" s="1">
        <v>44921</v>
      </c>
      <c r="M817" t="s">
        <v>84</v>
      </c>
      <c r="N817" t="s">
        <v>63</v>
      </c>
      <c r="O817">
        <v>13732.367</v>
      </c>
      <c r="P817">
        <v>1248.3969999999999</v>
      </c>
      <c r="Q817">
        <v>0.38</v>
      </c>
    </row>
    <row r="818" spans="1:17">
      <c r="A818" t="s">
        <v>67</v>
      </c>
      <c r="B818" t="s">
        <v>18</v>
      </c>
      <c r="C818" t="s">
        <v>30</v>
      </c>
      <c r="D818" t="s">
        <v>50</v>
      </c>
      <c r="E818">
        <v>0.09</v>
      </c>
      <c r="F818">
        <v>4819.9799999999996</v>
      </c>
      <c r="G818">
        <v>2.2400000000000002</v>
      </c>
      <c r="H818">
        <v>12281</v>
      </c>
      <c r="I818">
        <v>37897</v>
      </c>
      <c r="J818">
        <v>4</v>
      </c>
      <c r="K818" t="s">
        <v>37</v>
      </c>
      <c r="L818" s="1">
        <v>44603</v>
      </c>
      <c r="M818" t="s">
        <v>74</v>
      </c>
      <c r="N818" t="s">
        <v>60</v>
      </c>
      <c r="O818">
        <v>5301.9780000000001</v>
      </c>
      <c r="P818">
        <v>481.99799999999999</v>
      </c>
      <c r="Q818">
        <v>0.39</v>
      </c>
    </row>
    <row r="819" spans="1:17">
      <c r="A819" t="s">
        <v>28</v>
      </c>
      <c r="B819" t="s">
        <v>34</v>
      </c>
      <c r="C819" t="s">
        <v>40</v>
      </c>
      <c r="D819" t="s">
        <v>50</v>
      </c>
      <c r="E819">
        <v>0.11</v>
      </c>
      <c r="F819">
        <v>9501.43</v>
      </c>
      <c r="G819">
        <v>2.89</v>
      </c>
      <c r="H819">
        <v>24984</v>
      </c>
      <c r="I819">
        <v>75523</v>
      </c>
      <c r="J819">
        <v>8</v>
      </c>
      <c r="K819" t="s">
        <v>53</v>
      </c>
      <c r="L819" s="1">
        <v>44797</v>
      </c>
      <c r="M819" t="s">
        <v>66</v>
      </c>
      <c r="N819" t="s">
        <v>32</v>
      </c>
      <c r="O819">
        <v>10451.573</v>
      </c>
      <c r="P819">
        <v>950.14300000000003</v>
      </c>
      <c r="Q819">
        <v>0.38</v>
      </c>
    </row>
    <row r="820" spans="1:17">
      <c r="A820" t="s">
        <v>45</v>
      </c>
      <c r="B820" t="s">
        <v>18</v>
      </c>
      <c r="C820" t="s">
        <v>35</v>
      </c>
      <c r="D820" t="s">
        <v>36</v>
      </c>
      <c r="E820">
        <v>0.06</v>
      </c>
      <c r="F820">
        <v>15000</v>
      </c>
      <c r="G820">
        <v>5.82</v>
      </c>
      <c r="H820">
        <v>39231</v>
      </c>
      <c r="I820">
        <v>117723</v>
      </c>
      <c r="J820">
        <v>6</v>
      </c>
      <c r="K820" t="s">
        <v>21</v>
      </c>
      <c r="L820" s="1">
        <v>44601</v>
      </c>
      <c r="M820" t="s">
        <v>26</v>
      </c>
      <c r="N820" t="s">
        <v>60</v>
      </c>
      <c r="O820">
        <v>16500</v>
      </c>
      <c r="P820">
        <v>1500</v>
      </c>
      <c r="Q820">
        <v>0.38</v>
      </c>
    </row>
    <row r="821" spans="1:17">
      <c r="A821" t="s">
        <v>28</v>
      </c>
      <c r="B821" t="s">
        <v>34</v>
      </c>
      <c r="C821" t="s">
        <v>19</v>
      </c>
      <c r="D821" t="s">
        <v>36</v>
      </c>
      <c r="E821">
        <v>0.06</v>
      </c>
      <c r="F821">
        <v>1775.28</v>
      </c>
      <c r="G821">
        <v>1.4</v>
      </c>
      <c r="H821">
        <v>4381</v>
      </c>
      <c r="I821">
        <v>14496</v>
      </c>
      <c r="J821">
        <v>9</v>
      </c>
      <c r="K821" t="s">
        <v>51</v>
      </c>
      <c r="L821" s="1">
        <v>44771</v>
      </c>
      <c r="M821" t="s">
        <v>75</v>
      </c>
      <c r="N821" t="s">
        <v>23</v>
      </c>
      <c r="O821">
        <v>1952.808</v>
      </c>
      <c r="P821">
        <v>177.52799999999999</v>
      </c>
      <c r="Q821">
        <v>0.41</v>
      </c>
    </row>
    <row r="822" spans="1:17">
      <c r="A822" t="s">
        <v>17</v>
      </c>
      <c r="B822" t="s">
        <v>34</v>
      </c>
      <c r="C822" t="s">
        <v>35</v>
      </c>
      <c r="D822" t="s">
        <v>42</v>
      </c>
      <c r="E822">
        <v>0.14000000000000001</v>
      </c>
      <c r="F822">
        <v>12344.79</v>
      </c>
      <c r="G822">
        <v>0.49691739300287902</v>
      </c>
      <c r="H822">
        <v>19193</v>
      </c>
      <c r="I822">
        <v>63479</v>
      </c>
      <c r="J822">
        <v>1</v>
      </c>
      <c r="K822" t="s">
        <v>53</v>
      </c>
      <c r="L822" s="1">
        <v>44759</v>
      </c>
      <c r="M822" t="s">
        <v>84</v>
      </c>
      <c r="N822" t="s">
        <v>23</v>
      </c>
      <c r="O822">
        <v>13579.269</v>
      </c>
      <c r="P822">
        <v>1234.479</v>
      </c>
      <c r="Q822">
        <v>0.64</v>
      </c>
    </row>
    <row r="823" spans="1:17">
      <c r="A823" t="s">
        <v>24</v>
      </c>
      <c r="B823" t="s">
        <v>18</v>
      </c>
      <c r="C823" t="s">
        <v>35</v>
      </c>
      <c r="D823" t="s">
        <v>36</v>
      </c>
      <c r="E823">
        <v>0.13</v>
      </c>
      <c r="F823">
        <v>12408.63</v>
      </c>
      <c r="G823">
        <v>5.39</v>
      </c>
      <c r="H823">
        <v>32852</v>
      </c>
      <c r="I823">
        <v>98827</v>
      </c>
      <c r="J823">
        <v>6</v>
      </c>
      <c r="K823" t="s">
        <v>53</v>
      </c>
      <c r="L823" s="1">
        <v>44702</v>
      </c>
      <c r="M823" t="s">
        <v>66</v>
      </c>
      <c r="N823" t="s">
        <v>44</v>
      </c>
      <c r="O823">
        <v>13649.493</v>
      </c>
      <c r="P823">
        <v>1240.8630000000001</v>
      </c>
      <c r="Q823">
        <v>0.38</v>
      </c>
    </row>
    <row r="824" spans="1:17">
      <c r="A824" t="s">
        <v>17</v>
      </c>
      <c r="B824" t="s">
        <v>34</v>
      </c>
      <c r="C824" t="s">
        <v>30</v>
      </c>
      <c r="D824" t="s">
        <v>42</v>
      </c>
      <c r="E824">
        <v>0.08</v>
      </c>
      <c r="F824">
        <v>6275.35</v>
      </c>
      <c r="G824">
        <v>1.3727789849863701</v>
      </c>
      <c r="H824">
        <v>9537</v>
      </c>
      <c r="I824">
        <v>32037</v>
      </c>
      <c r="J824">
        <v>1</v>
      </c>
      <c r="K824" t="s">
        <v>37</v>
      </c>
      <c r="L824" s="1">
        <v>44664</v>
      </c>
      <c r="M824" t="s">
        <v>64</v>
      </c>
      <c r="N824" t="s">
        <v>73</v>
      </c>
      <c r="O824">
        <v>6902.8850000000002</v>
      </c>
      <c r="P824">
        <v>627.53499999999997</v>
      </c>
      <c r="Q824">
        <v>0.66</v>
      </c>
    </row>
    <row r="825" spans="1:17">
      <c r="A825" t="s">
        <v>33</v>
      </c>
      <c r="B825" t="s">
        <v>18</v>
      </c>
      <c r="C825" t="s">
        <v>30</v>
      </c>
      <c r="D825" t="s">
        <v>42</v>
      </c>
      <c r="E825">
        <v>0.05</v>
      </c>
      <c r="F825">
        <v>4512.26</v>
      </c>
      <c r="G825">
        <v>1.4192532735405901</v>
      </c>
      <c r="H825">
        <v>6720</v>
      </c>
      <c r="I825">
        <v>22862</v>
      </c>
      <c r="J825">
        <v>1</v>
      </c>
      <c r="K825" t="s">
        <v>21</v>
      </c>
      <c r="L825" s="1">
        <v>44571</v>
      </c>
      <c r="M825" t="s">
        <v>26</v>
      </c>
      <c r="N825" t="s">
        <v>27</v>
      </c>
      <c r="O825">
        <v>4963.4859999999999</v>
      </c>
      <c r="P825">
        <v>451.226</v>
      </c>
      <c r="Q825">
        <v>0.67</v>
      </c>
    </row>
    <row r="826" spans="1:17">
      <c r="A826" t="s">
        <v>49</v>
      </c>
      <c r="B826" t="s">
        <v>25</v>
      </c>
      <c r="C826" t="s">
        <v>40</v>
      </c>
      <c r="D826" t="s">
        <v>42</v>
      </c>
      <c r="E826">
        <v>0.08</v>
      </c>
      <c r="F826">
        <v>8720.23</v>
      </c>
      <c r="G826">
        <v>0.95093544272493502</v>
      </c>
      <c r="H826">
        <v>13438</v>
      </c>
      <c r="I826">
        <v>44737</v>
      </c>
      <c r="J826">
        <v>1</v>
      </c>
      <c r="K826" t="s">
        <v>51</v>
      </c>
      <c r="L826" s="1">
        <v>44838</v>
      </c>
      <c r="M826" t="s">
        <v>79</v>
      </c>
      <c r="N826" t="s">
        <v>57</v>
      </c>
      <c r="O826">
        <v>9592.2530000000006</v>
      </c>
      <c r="P826">
        <v>872.02300000000105</v>
      </c>
      <c r="Q826">
        <v>0.65</v>
      </c>
    </row>
    <row r="827" spans="1:17">
      <c r="A827" t="s">
        <v>55</v>
      </c>
      <c r="B827" t="s">
        <v>34</v>
      </c>
      <c r="C827" t="s">
        <v>35</v>
      </c>
      <c r="D827" t="s">
        <v>50</v>
      </c>
      <c r="E827">
        <v>0.06</v>
      </c>
      <c r="F827">
        <v>13816.92</v>
      </c>
      <c r="G827">
        <v>4.96</v>
      </c>
      <c r="H827">
        <v>36283</v>
      </c>
      <c r="I827">
        <v>108990</v>
      </c>
      <c r="J827">
        <v>7</v>
      </c>
      <c r="K827" t="s">
        <v>37</v>
      </c>
      <c r="L827" s="1">
        <v>44623</v>
      </c>
      <c r="M827" t="s">
        <v>89</v>
      </c>
      <c r="N827" t="s">
        <v>81</v>
      </c>
      <c r="O827">
        <v>15198.611999999999</v>
      </c>
      <c r="P827">
        <v>1381.692</v>
      </c>
      <c r="Q827">
        <v>0.38</v>
      </c>
    </row>
    <row r="828" spans="1:17">
      <c r="A828" t="s">
        <v>55</v>
      </c>
      <c r="B828" t="s">
        <v>34</v>
      </c>
      <c r="C828" t="s">
        <v>35</v>
      </c>
      <c r="D828" t="s">
        <v>42</v>
      </c>
      <c r="E828">
        <v>0.03</v>
      </c>
      <c r="F828">
        <v>13672.4</v>
      </c>
      <c r="G828">
        <v>0.72213894522720601</v>
      </c>
      <c r="H828">
        <v>21127</v>
      </c>
      <c r="I828">
        <v>69774</v>
      </c>
      <c r="J828">
        <v>1</v>
      </c>
      <c r="K828" t="s">
        <v>21</v>
      </c>
      <c r="L828" s="1">
        <v>44869</v>
      </c>
      <c r="M828" t="s">
        <v>48</v>
      </c>
      <c r="N828" t="s">
        <v>41</v>
      </c>
      <c r="O828">
        <v>15039.64</v>
      </c>
      <c r="P828">
        <v>1367.24</v>
      </c>
      <c r="Q828">
        <v>0.65</v>
      </c>
    </row>
    <row r="829" spans="1:17">
      <c r="A829" t="s">
        <v>45</v>
      </c>
      <c r="B829" t="s">
        <v>29</v>
      </c>
      <c r="C829" t="s">
        <v>35</v>
      </c>
      <c r="D829" t="s">
        <v>36</v>
      </c>
      <c r="E829">
        <v>0.15</v>
      </c>
      <c r="F829">
        <v>12614.44</v>
      </c>
      <c r="G829">
        <v>2.08</v>
      </c>
      <c r="H829">
        <v>33385</v>
      </c>
      <c r="I829">
        <v>100406</v>
      </c>
      <c r="J829">
        <v>5</v>
      </c>
      <c r="K829" t="s">
        <v>53</v>
      </c>
      <c r="L829" s="1">
        <v>44832</v>
      </c>
      <c r="M829" t="s">
        <v>84</v>
      </c>
      <c r="N829" t="s">
        <v>65</v>
      </c>
      <c r="O829">
        <v>13875.884</v>
      </c>
      <c r="P829">
        <v>1261.444</v>
      </c>
      <c r="Q829">
        <v>0.38</v>
      </c>
    </row>
    <row r="830" spans="1:17">
      <c r="A830" t="s">
        <v>17</v>
      </c>
      <c r="B830" t="s">
        <v>29</v>
      </c>
      <c r="C830" t="s">
        <v>19</v>
      </c>
      <c r="D830" t="s">
        <v>36</v>
      </c>
      <c r="E830">
        <v>0.09</v>
      </c>
      <c r="F830">
        <v>1957.58</v>
      </c>
      <c r="G830">
        <v>5.14</v>
      </c>
      <c r="H830">
        <v>4804</v>
      </c>
      <c r="I830">
        <v>15750</v>
      </c>
      <c r="J830">
        <v>3</v>
      </c>
      <c r="K830" t="s">
        <v>37</v>
      </c>
      <c r="L830" s="1">
        <v>44884</v>
      </c>
      <c r="M830" t="s">
        <v>91</v>
      </c>
      <c r="N830" t="s">
        <v>41</v>
      </c>
      <c r="O830">
        <v>2153.3380000000002</v>
      </c>
      <c r="P830">
        <v>195.75800000000001</v>
      </c>
      <c r="Q830">
        <v>0.41</v>
      </c>
    </row>
    <row r="831" spans="1:17">
      <c r="A831" t="s">
        <v>39</v>
      </c>
      <c r="B831" t="s">
        <v>34</v>
      </c>
      <c r="C831" t="s">
        <v>35</v>
      </c>
      <c r="D831" t="s">
        <v>36</v>
      </c>
      <c r="E831">
        <v>0.12</v>
      </c>
      <c r="F831">
        <v>15000</v>
      </c>
      <c r="G831">
        <v>2.9</v>
      </c>
      <c r="H831">
        <v>38415</v>
      </c>
      <c r="I831">
        <v>115305</v>
      </c>
      <c r="J831">
        <v>8</v>
      </c>
      <c r="K831" t="s">
        <v>21</v>
      </c>
      <c r="L831" s="1">
        <v>44812</v>
      </c>
      <c r="M831" t="s">
        <v>22</v>
      </c>
      <c r="N831" t="s">
        <v>65</v>
      </c>
      <c r="O831">
        <v>16500</v>
      </c>
      <c r="P831">
        <v>1500</v>
      </c>
      <c r="Q831">
        <v>0.39</v>
      </c>
    </row>
    <row r="832" spans="1:17">
      <c r="A832" t="s">
        <v>55</v>
      </c>
      <c r="B832" t="s">
        <v>34</v>
      </c>
      <c r="C832" t="s">
        <v>40</v>
      </c>
      <c r="D832" t="s">
        <v>42</v>
      </c>
      <c r="E832">
        <v>0.14000000000000001</v>
      </c>
      <c r="F832">
        <v>10278.64</v>
      </c>
      <c r="G832">
        <v>0.75967587059792696</v>
      </c>
      <c r="H832">
        <v>15920</v>
      </c>
      <c r="I832">
        <v>52820</v>
      </c>
      <c r="J832">
        <v>1</v>
      </c>
      <c r="K832" t="s">
        <v>51</v>
      </c>
      <c r="L832" s="1">
        <v>44710</v>
      </c>
      <c r="M832" t="s">
        <v>72</v>
      </c>
      <c r="N832" t="s">
        <v>44</v>
      </c>
      <c r="O832">
        <v>11306.504000000001</v>
      </c>
      <c r="P832">
        <v>1027.864</v>
      </c>
      <c r="Q832">
        <v>0.65</v>
      </c>
    </row>
    <row r="833" spans="1:17">
      <c r="A833" t="s">
        <v>67</v>
      </c>
      <c r="B833" t="s">
        <v>25</v>
      </c>
      <c r="C833" t="s">
        <v>40</v>
      </c>
      <c r="D833" t="s">
        <v>36</v>
      </c>
      <c r="E833">
        <v>0.05</v>
      </c>
      <c r="F833">
        <v>10751.45</v>
      </c>
      <c r="G833">
        <v>5.83</v>
      </c>
      <c r="H833">
        <v>28398</v>
      </c>
      <c r="I833">
        <v>85635</v>
      </c>
      <c r="J833">
        <v>7</v>
      </c>
      <c r="K833" t="s">
        <v>37</v>
      </c>
      <c r="L833" s="1">
        <v>44885</v>
      </c>
      <c r="M833" t="s">
        <v>100</v>
      </c>
      <c r="N833" t="s">
        <v>41</v>
      </c>
      <c r="O833">
        <v>11826.594999999999</v>
      </c>
      <c r="P833">
        <v>1075.145</v>
      </c>
      <c r="Q833">
        <v>0.38</v>
      </c>
    </row>
    <row r="834" spans="1:17">
      <c r="A834" t="s">
        <v>55</v>
      </c>
      <c r="B834" t="s">
        <v>29</v>
      </c>
      <c r="C834" t="s">
        <v>35</v>
      </c>
      <c r="D834" t="s">
        <v>36</v>
      </c>
      <c r="E834">
        <v>0.13</v>
      </c>
      <c r="F834">
        <v>11723.07</v>
      </c>
      <c r="G834">
        <v>7.93</v>
      </c>
      <c r="H834">
        <v>31039</v>
      </c>
      <c r="I834">
        <v>93459</v>
      </c>
      <c r="J834">
        <v>7</v>
      </c>
      <c r="K834" t="s">
        <v>53</v>
      </c>
      <c r="L834" s="1">
        <v>44627</v>
      </c>
      <c r="M834" t="s">
        <v>83</v>
      </c>
      <c r="N834" t="s">
        <v>81</v>
      </c>
      <c r="O834">
        <v>12895.377</v>
      </c>
      <c r="P834">
        <v>1172.307</v>
      </c>
      <c r="Q834">
        <v>0.38</v>
      </c>
    </row>
    <row r="835" spans="1:17">
      <c r="A835" t="s">
        <v>55</v>
      </c>
      <c r="B835" t="s">
        <v>18</v>
      </c>
      <c r="C835" t="s">
        <v>30</v>
      </c>
      <c r="D835" t="s">
        <v>36</v>
      </c>
      <c r="E835">
        <v>0.1</v>
      </c>
      <c r="F835">
        <v>4730.2</v>
      </c>
      <c r="G835">
        <v>7.62</v>
      </c>
      <c r="H835">
        <v>12040</v>
      </c>
      <c r="I835">
        <v>37182</v>
      </c>
      <c r="J835">
        <v>7</v>
      </c>
      <c r="K835" t="s">
        <v>53</v>
      </c>
      <c r="L835" s="1">
        <v>44721</v>
      </c>
      <c r="M835" t="s">
        <v>104</v>
      </c>
      <c r="N835" t="s">
        <v>69</v>
      </c>
      <c r="O835">
        <v>5203.22</v>
      </c>
      <c r="P835">
        <v>473.02</v>
      </c>
      <c r="Q835">
        <v>0.39</v>
      </c>
    </row>
    <row r="836" spans="1:17">
      <c r="A836" t="s">
        <v>17</v>
      </c>
      <c r="B836" t="s">
        <v>18</v>
      </c>
      <c r="C836" t="s">
        <v>19</v>
      </c>
      <c r="D836" t="s">
        <v>42</v>
      </c>
      <c r="E836">
        <v>0.03</v>
      </c>
      <c r="F836">
        <v>500</v>
      </c>
      <c r="G836">
        <v>0.88122400989359595</v>
      </c>
      <c r="H836">
        <v>1080</v>
      </c>
      <c r="I836">
        <v>4500</v>
      </c>
      <c r="J836">
        <v>1</v>
      </c>
      <c r="K836" t="s">
        <v>53</v>
      </c>
      <c r="L836" s="1">
        <v>44760</v>
      </c>
      <c r="M836" t="s">
        <v>78</v>
      </c>
      <c r="N836" t="s">
        <v>23</v>
      </c>
      <c r="O836">
        <v>550</v>
      </c>
      <c r="P836">
        <v>50</v>
      </c>
      <c r="Q836">
        <v>0.46</v>
      </c>
    </row>
    <row r="837" spans="1:17">
      <c r="A837" t="s">
        <v>39</v>
      </c>
      <c r="B837" t="s">
        <v>18</v>
      </c>
      <c r="C837" t="s">
        <v>19</v>
      </c>
      <c r="D837" t="s">
        <v>36</v>
      </c>
      <c r="E837">
        <v>0.08</v>
      </c>
      <c r="F837">
        <v>3480.73</v>
      </c>
      <c r="G837">
        <v>3.74</v>
      </c>
      <c r="H837">
        <v>8630</v>
      </c>
      <c r="I837">
        <v>27083</v>
      </c>
      <c r="J837">
        <v>8</v>
      </c>
      <c r="K837" t="s">
        <v>51</v>
      </c>
      <c r="L837" s="1">
        <v>44876</v>
      </c>
      <c r="M837" t="s">
        <v>59</v>
      </c>
      <c r="N837" t="s">
        <v>41</v>
      </c>
      <c r="O837">
        <v>3828.8029999999999</v>
      </c>
      <c r="P837">
        <v>348.07299999999998</v>
      </c>
      <c r="Q837">
        <v>0.4</v>
      </c>
    </row>
    <row r="838" spans="1:17">
      <c r="A838" t="s">
        <v>17</v>
      </c>
      <c r="B838" t="s">
        <v>18</v>
      </c>
      <c r="C838" t="s">
        <v>40</v>
      </c>
      <c r="D838" t="s">
        <v>36</v>
      </c>
      <c r="E838">
        <v>0.03</v>
      </c>
      <c r="F838">
        <v>8431.3700000000008</v>
      </c>
      <c r="G838">
        <v>7.32</v>
      </c>
      <c r="H838">
        <v>22101</v>
      </c>
      <c r="I838">
        <v>66982</v>
      </c>
      <c r="J838">
        <v>10</v>
      </c>
      <c r="K838" t="s">
        <v>46</v>
      </c>
      <c r="L838" s="1">
        <v>44889</v>
      </c>
      <c r="M838" t="s">
        <v>76</v>
      </c>
      <c r="N838" t="s">
        <v>41</v>
      </c>
      <c r="O838">
        <v>9274.5069999999996</v>
      </c>
      <c r="P838">
        <v>843.13699999999994</v>
      </c>
      <c r="Q838">
        <v>0.38</v>
      </c>
    </row>
    <row r="839" spans="1:17">
      <c r="A839" t="s">
        <v>24</v>
      </c>
      <c r="B839" t="s">
        <v>25</v>
      </c>
      <c r="C839" t="s">
        <v>19</v>
      </c>
      <c r="D839" t="s">
        <v>20</v>
      </c>
      <c r="E839">
        <v>0.09</v>
      </c>
      <c r="F839">
        <v>2179.4</v>
      </c>
      <c r="G839">
        <v>7.87</v>
      </c>
      <c r="H839">
        <v>5334</v>
      </c>
      <c r="I839">
        <v>17319</v>
      </c>
      <c r="J839">
        <v>10</v>
      </c>
      <c r="K839" t="s">
        <v>21</v>
      </c>
      <c r="L839" s="1">
        <v>44586</v>
      </c>
      <c r="M839" t="s">
        <v>77</v>
      </c>
      <c r="N839" t="s">
        <v>27</v>
      </c>
      <c r="O839">
        <v>2397.34</v>
      </c>
      <c r="P839">
        <v>217.94</v>
      </c>
      <c r="Q839">
        <v>0.41</v>
      </c>
    </row>
    <row r="840" spans="1:17">
      <c r="A840" t="s">
        <v>55</v>
      </c>
      <c r="B840" t="s">
        <v>29</v>
      </c>
      <c r="C840" t="s">
        <v>40</v>
      </c>
      <c r="D840" t="s">
        <v>20</v>
      </c>
      <c r="E840">
        <v>0.14000000000000001</v>
      </c>
      <c r="F840">
        <v>10593.01</v>
      </c>
      <c r="G840">
        <v>2.44</v>
      </c>
      <c r="H840">
        <v>27966</v>
      </c>
      <c r="I840">
        <v>84357</v>
      </c>
      <c r="J840">
        <v>6</v>
      </c>
      <c r="K840" t="s">
        <v>53</v>
      </c>
      <c r="L840" s="1">
        <v>44677</v>
      </c>
      <c r="M840" t="s">
        <v>54</v>
      </c>
      <c r="N840" t="s">
        <v>73</v>
      </c>
      <c r="O840">
        <v>11652.311</v>
      </c>
      <c r="P840">
        <v>1059.3009999999999</v>
      </c>
      <c r="Q840">
        <v>0.38</v>
      </c>
    </row>
    <row r="841" spans="1:17">
      <c r="A841" t="s">
        <v>55</v>
      </c>
      <c r="B841" t="s">
        <v>18</v>
      </c>
      <c r="C841" t="s">
        <v>30</v>
      </c>
      <c r="D841" t="s">
        <v>50</v>
      </c>
      <c r="E841">
        <v>0.06</v>
      </c>
      <c r="F841">
        <v>6154.71</v>
      </c>
      <c r="G841">
        <v>2.78</v>
      </c>
      <c r="H841">
        <v>15916</v>
      </c>
      <c r="I841">
        <v>48664</v>
      </c>
      <c r="J841">
        <v>9</v>
      </c>
      <c r="K841" t="s">
        <v>46</v>
      </c>
      <c r="L841" s="1">
        <v>44654</v>
      </c>
      <c r="M841" t="s">
        <v>76</v>
      </c>
      <c r="N841" t="s">
        <v>73</v>
      </c>
      <c r="O841">
        <v>6770.1809999999996</v>
      </c>
      <c r="P841">
        <v>615.471</v>
      </c>
      <c r="Q841">
        <v>0.39</v>
      </c>
    </row>
    <row r="842" spans="1:17">
      <c r="A842" t="s">
        <v>39</v>
      </c>
      <c r="B842" t="s">
        <v>25</v>
      </c>
      <c r="C842" t="s">
        <v>19</v>
      </c>
      <c r="D842" t="s">
        <v>42</v>
      </c>
      <c r="E842">
        <v>0.05</v>
      </c>
      <c r="F842">
        <v>2438.34</v>
      </c>
      <c r="G842">
        <v>0.21807166167752201</v>
      </c>
      <c r="H842">
        <v>3499</v>
      </c>
      <c r="I842">
        <v>12375</v>
      </c>
      <c r="J842">
        <v>1</v>
      </c>
      <c r="K842" t="s">
        <v>21</v>
      </c>
      <c r="L842" s="1">
        <v>44705</v>
      </c>
      <c r="M842" t="s">
        <v>43</v>
      </c>
      <c r="N842" t="s">
        <v>44</v>
      </c>
      <c r="O842">
        <v>2682.174</v>
      </c>
      <c r="P842">
        <v>243.834</v>
      </c>
      <c r="Q842">
        <v>0.7</v>
      </c>
    </row>
    <row r="843" spans="1:17">
      <c r="A843" t="s">
        <v>45</v>
      </c>
      <c r="B843" t="s">
        <v>29</v>
      </c>
      <c r="C843" t="s">
        <v>30</v>
      </c>
      <c r="D843" t="s">
        <v>36</v>
      </c>
      <c r="E843">
        <v>0.03</v>
      </c>
      <c r="F843">
        <v>6400.21</v>
      </c>
      <c r="G843">
        <v>1.38</v>
      </c>
      <c r="H843">
        <v>16582</v>
      </c>
      <c r="I843">
        <v>50636</v>
      </c>
      <c r="J843">
        <v>6</v>
      </c>
      <c r="K843" t="s">
        <v>53</v>
      </c>
      <c r="L843" s="1">
        <v>44892</v>
      </c>
      <c r="M843" t="s">
        <v>54</v>
      </c>
      <c r="N843" t="s">
        <v>41</v>
      </c>
      <c r="O843">
        <v>7040.2309999999998</v>
      </c>
      <c r="P843">
        <v>640.02099999999996</v>
      </c>
      <c r="Q843">
        <v>0.39</v>
      </c>
    </row>
    <row r="844" spans="1:17">
      <c r="A844" t="s">
        <v>24</v>
      </c>
      <c r="B844" t="s">
        <v>25</v>
      </c>
      <c r="C844" t="s">
        <v>19</v>
      </c>
      <c r="D844" t="s">
        <v>50</v>
      </c>
      <c r="E844">
        <v>0.12</v>
      </c>
      <c r="F844">
        <v>3866.04</v>
      </c>
      <c r="G844">
        <v>1.49</v>
      </c>
      <c r="H844">
        <v>9673</v>
      </c>
      <c r="I844">
        <v>30172</v>
      </c>
      <c r="J844">
        <v>5</v>
      </c>
      <c r="K844" t="s">
        <v>46</v>
      </c>
      <c r="L844" s="1">
        <v>44854</v>
      </c>
      <c r="M844" t="s">
        <v>76</v>
      </c>
      <c r="N844" t="s">
        <v>57</v>
      </c>
      <c r="O844">
        <v>4252.6440000000002</v>
      </c>
      <c r="P844">
        <v>386.60399999999998</v>
      </c>
      <c r="Q844">
        <v>0.4</v>
      </c>
    </row>
    <row r="845" spans="1:17">
      <c r="A845" t="s">
        <v>28</v>
      </c>
      <c r="B845" t="s">
        <v>18</v>
      </c>
      <c r="C845" t="s">
        <v>30</v>
      </c>
      <c r="D845" t="s">
        <v>20</v>
      </c>
      <c r="E845">
        <v>0.06</v>
      </c>
      <c r="F845">
        <v>4708.7700000000004</v>
      </c>
      <c r="G845">
        <v>6.27</v>
      </c>
      <c r="H845">
        <v>11981</v>
      </c>
      <c r="I845">
        <v>37007</v>
      </c>
      <c r="J845">
        <v>1</v>
      </c>
      <c r="K845" t="s">
        <v>53</v>
      </c>
      <c r="L845" s="1">
        <v>44794</v>
      </c>
      <c r="M845" t="s">
        <v>78</v>
      </c>
      <c r="N845" t="s">
        <v>32</v>
      </c>
      <c r="O845">
        <v>5179.6469999999999</v>
      </c>
      <c r="P845">
        <v>470.87700000000001</v>
      </c>
      <c r="Q845">
        <v>0.39</v>
      </c>
    </row>
    <row r="846" spans="1:17">
      <c r="A846" t="s">
        <v>45</v>
      </c>
      <c r="B846" t="s">
        <v>25</v>
      </c>
      <c r="C846" t="s">
        <v>35</v>
      </c>
      <c r="D846" t="s">
        <v>42</v>
      </c>
      <c r="E846">
        <v>0.14000000000000001</v>
      </c>
      <c r="F846">
        <v>13915.01</v>
      </c>
      <c r="G846">
        <v>0.86156181088988504</v>
      </c>
      <c r="H846">
        <v>21432</v>
      </c>
      <c r="I846">
        <v>70767</v>
      </c>
      <c r="J846">
        <v>1</v>
      </c>
      <c r="K846" t="s">
        <v>51</v>
      </c>
      <c r="L846" s="1">
        <v>44720</v>
      </c>
      <c r="M846" t="s">
        <v>52</v>
      </c>
      <c r="N846" t="s">
        <v>69</v>
      </c>
      <c r="O846">
        <v>15306.511</v>
      </c>
      <c r="P846">
        <v>1391.501</v>
      </c>
      <c r="Q846">
        <v>0.65</v>
      </c>
    </row>
    <row r="847" spans="1:17">
      <c r="A847" t="s">
        <v>67</v>
      </c>
      <c r="B847" t="s">
        <v>18</v>
      </c>
      <c r="C847" t="s">
        <v>40</v>
      </c>
      <c r="D847" t="s">
        <v>36</v>
      </c>
      <c r="E847">
        <v>0.15</v>
      </c>
      <c r="F847">
        <v>8647.61</v>
      </c>
      <c r="G847">
        <v>4.6900000000000004</v>
      </c>
      <c r="H847">
        <v>22683</v>
      </c>
      <c r="I847">
        <v>68709</v>
      </c>
      <c r="J847">
        <v>5</v>
      </c>
      <c r="K847" t="s">
        <v>46</v>
      </c>
      <c r="L847" s="1">
        <v>44643</v>
      </c>
      <c r="M847" t="s">
        <v>96</v>
      </c>
      <c r="N847" t="s">
        <v>81</v>
      </c>
      <c r="O847">
        <v>9512.3709999999992</v>
      </c>
      <c r="P847">
        <v>864.76099999999997</v>
      </c>
      <c r="Q847">
        <v>0.38</v>
      </c>
    </row>
    <row r="848" spans="1:17">
      <c r="A848" t="s">
        <v>24</v>
      </c>
      <c r="B848" t="s">
        <v>25</v>
      </c>
      <c r="C848" t="s">
        <v>35</v>
      </c>
      <c r="D848" t="s">
        <v>36</v>
      </c>
      <c r="E848">
        <v>0.06</v>
      </c>
      <c r="F848">
        <v>13432.8</v>
      </c>
      <c r="G848">
        <v>4.79</v>
      </c>
      <c r="H848">
        <v>35424</v>
      </c>
      <c r="I848">
        <v>106447</v>
      </c>
      <c r="J848">
        <v>3</v>
      </c>
      <c r="K848" t="s">
        <v>46</v>
      </c>
      <c r="L848" s="1">
        <v>44903</v>
      </c>
      <c r="M848" t="s">
        <v>87</v>
      </c>
      <c r="N848" t="s">
        <v>63</v>
      </c>
      <c r="O848">
        <v>14776.08</v>
      </c>
      <c r="P848">
        <v>1343.28</v>
      </c>
      <c r="Q848">
        <v>0.38</v>
      </c>
    </row>
    <row r="849" spans="1:17">
      <c r="A849" t="s">
        <v>24</v>
      </c>
      <c r="B849" t="s">
        <v>29</v>
      </c>
      <c r="C849" t="s">
        <v>40</v>
      </c>
      <c r="D849" t="s">
        <v>42</v>
      </c>
      <c r="E849">
        <v>0.08</v>
      </c>
      <c r="F849">
        <v>8577.01</v>
      </c>
      <c r="G849">
        <v>0.10903583083876101</v>
      </c>
      <c r="H849">
        <v>13213</v>
      </c>
      <c r="I849">
        <v>44006</v>
      </c>
      <c r="J849">
        <v>1</v>
      </c>
      <c r="K849" t="s">
        <v>46</v>
      </c>
      <c r="L849" s="1">
        <v>44853</v>
      </c>
      <c r="M849" t="s">
        <v>88</v>
      </c>
      <c r="N849" t="s">
        <v>57</v>
      </c>
      <c r="O849">
        <v>9434.7109999999993</v>
      </c>
      <c r="P849">
        <v>857.70100000000002</v>
      </c>
      <c r="Q849">
        <v>0.65</v>
      </c>
    </row>
    <row r="850" spans="1:17">
      <c r="A850" t="s">
        <v>49</v>
      </c>
      <c r="B850" t="s">
        <v>29</v>
      </c>
      <c r="C850" t="s">
        <v>35</v>
      </c>
      <c r="D850" t="s">
        <v>36</v>
      </c>
      <c r="E850">
        <v>0.06</v>
      </c>
      <c r="F850">
        <v>11499.12</v>
      </c>
      <c r="G850">
        <v>6.84</v>
      </c>
      <c r="H850">
        <v>30436</v>
      </c>
      <c r="I850">
        <v>91673</v>
      </c>
      <c r="J850">
        <v>9</v>
      </c>
      <c r="K850" t="s">
        <v>51</v>
      </c>
      <c r="L850" s="1">
        <v>44897</v>
      </c>
      <c r="M850" t="s">
        <v>75</v>
      </c>
      <c r="N850" t="s">
        <v>63</v>
      </c>
      <c r="O850">
        <v>12649.031999999999</v>
      </c>
      <c r="P850">
        <v>1149.912</v>
      </c>
      <c r="Q850">
        <v>0.38</v>
      </c>
    </row>
    <row r="851" spans="1:17">
      <c r="A851" t="s">
        <v>17</v>
      </c>
      <c r="B851" t="s">
        <v>18</v>
      </c>
      <c r="C851" t="s">
        <v>30</v>
      </c>
      <c r="D851" t="s">
        <v>36</v>
      </c>
      <c r="E851">
        <v>0.11</v>
      </c>
      <c r="F851">
        <v>4753.49</v>
      </c>
      <c r="G851">
        <v>5.87</v>
      </c>
      <c r="H851">
        <v>12097</v>
      </c>
      <c r="I851">
        <v>37352</v>
      </c>
      <c r="J851">
        <v>2</v>
      </c>
      <c r="K851" t="s">
        <v>37</v>
      </c>
      <c r="L851" s="1">
        <v>44889</v>
      </c>
      <c r="M851" t="s">
        <v>89</v>
      </c>
      <c r="N851" t="s">
        <v>41</v>
      </c>
      <c r="O851">
        <v>5228.8389999999999</v>
      </c>
      <c r="P851">
        <v>475.34899999999999</v>
      </c>
      <c r="Q851">
        <v>0.39</v>
      </c>
    </row>
    <row r="852" spans="1:17">
      <c r="A852" t="s">
        <v>55</v>
      </c>
      <c r="B852" t="s">
        <v>29</v>
      </c>
      <c r="C852" t="s">
        <v>40</v>
      </c>
      <c r="D852" t="s">
        <v>36</v>
      </c>
      <c r="E852">
        <v>0.11</v>
      </c>
      <c r="F852">
        <v>10342</v>
      </c>
      <c r="G852">
        <v>3.95</v>
      </c>
      <c r="H852">
        <v>27282</v>
      </c>
      <c r="I852">
        <v>82329</v>
      </c>
      <c r="J852">
        <v>2</v>
      </c>
      <c r="K852" t="s">
        <v>51</v>
      </c>
      <c r="L852" s="1">
        <v>44734</v>
      </c>
      <c r="M852" t="s">
        <v>85</v>
      </c>
      <c r="N852" t="s">
        <v>69</v>
      </c>
      <c r="O852">
        <v>11376.2</v>
      </c>
      <c r="P852">
        <v>1034.2</v>
      </c>
      <c r="Q852">
        <v>0.38</v>
      </c>
    </row>
    <row r="853" spans="1:17">
      <c r="A853" t="s">
        <v>33</v>
      </c>
      <c r="B853" t="s">
        <v>25</v>
      </c>
      <c r="C853" t="s">
        <v>35</v>
      </c>
      <c r="D853" t="s">
        <v>36</v>
      </c>
      <c r="E853">
        <v>0.09</v>
      </c>
      <c r="F853">
        <v>12767.26</v>
      </c>
      <c r="G853">
        <v>0.17</v>
      </c>
      <c r="H853">
        <v>33787</v>
      </c>
      <c r="I853">
        <v>101597</v>
      </c>
      <c r="J853">
        <v>3</v>
      </c>
      <c r="K853" t="s">
        <v>46</v>
      </c>
      <c r="L853" s="1">
        <v>44811</v>
      </c>
      <c r="M853" t="s">
        <v>86</v>
      </c>
      <c r="N853" t="s">
        <v>65</v>
      </c>
      <c r="O853">
        <v>14043.986000000001</v>
      </c>
      <c r="P853">
        <v>1276.7260000000001</v>
      </c>
      <c r="Q853">
        <v>0.38</v>
      </c>
    </row>
    <row r="854" spans="1:17">
      <c r="A854" t="s">
        <v>45</v>
      </c>
      <c r="B854" t="s">
        <v>34</v>
      </c>
      <c r="C854" t="s">
        <v>35</v>
      </c>
      <c r="D854" t="s">
        <v>20</v>
      </c>
      <c r="E854">
        <v>0.11</v>
      </c>
      <c r="F854">
        <v>14825.27</v>
      </c>
      <c r="G854">
        <v>4.76</v>
      </c>
      <c r="H854">
        <v>38160</v>
      </c>
      <c r="I854">
        <v>114552</v>
      </c>
      <c r="J854">
        <v>2</v>
      </c>
      <c r="K854" t="s">
        <v>53</v>
      </c>
      <c r="L854" s="1">
        <v>44695</v>
      </c>
      <c r="M854" t="s">
        <v>66</v>
      </c>
      <c r="N854" t="s">
        <v>44</v>
      </c>
      <c r="O854">
        <v>16307.797</v>
      </c>
      <c r="P854">
        <v>1482.527</v>
      </c>
      <c r="Q854">
        <v>0.39</v>
      </c>
    </row>
    <row r="855" spans="1:17">
      <c r="A855" t="s">
        <v>17</v>
      </c>
      <c r="B855" t="s">
        <v>29</v>
      </c>
      <c r="C855" t="s">
        <v>35</v>
      </c>
      <c r="D855" t="s">
        <v>50</v>
      </c>
      <c r="E855">
        <v>0.02</v>
      </c>
      <c r="F855">
        <v>12185.08</v>
      </c>
      <c r="G855">
        <v>0.8</v>
      </c>
      <c r="H855">
        <v>32261</v>
      </c>
      <c r="I855">
        <v>97077</v>
      </c>
      <c r="J855">
        <v>7</v>
      </c>
      <c r="K855" t="s">
        <v>37</v>
      </c>
      <c r="L855" s="1">
        <v>44762</v>
      </c>
      <c r="M855" t="s">
        <v>90</v>
      </c>
      <c r="N855" t="s">
        <v>23</v>
      </c>
      <c r="O855">
        <v>13403.588</v>
      </c>
      <c r="P855">
        <v>1218.508</v>
      </c>
      <c r="Q855">
        <v>0.38</v>
      </c>
    </row>
    <row r="856" spans="1:17">
      <c r="A856" t="s">
        <v>55</v>
      </c>
      <c r="B856" t="s">
        <v>18</v>
      </c>
      <c r="C856" t="s">
        <v>30</v>
      </c>
      <c r="D856" t="s">
        <v>42</v>
      </c>
      <c r="E856">
        <v>0.11</v>
      </c>
      <c r="F856">
        <v>5357.96</v>
      </c>
      <c r="G856">
        <v>0.65600245766926901</v>
      </c>
      <c r="H856">
        <v>8072</v>
      </c>
      <c r="I856">
        <v>27266</v>
      </c>
      <c r="J856">
        <v>1</v>
      </c>
      <c r="K856" t="s">
        <v>53</v>
      </c>
      <c r="L856" s="1">
        <v>44752</v>
      </c>
      <c r="M856" t="s">
        <v>66</v>
      </c>
      <c r="N856" t="s">
        <v>23</v>
      </c>
      <c r="O856">
        <v>5893.7560000000003</v>
      </c>
      <c r="P856">
        <v>535.79600000000005</v>
      </c>
      <c r="Q856">
        <v>0.66</v>
      </c>
    </row>
    <row r="857" spans="1:17">
      <c r="A857" t="s">
        <v>67</v>
      </c>
      <c r="B857" t="s">
        <v>29</v>
      </c>
      <c r="C857" t="s">
        <v>30</v>
      </c>
      <c r="D857" t="s">
        <v>36</v>
      </c>
      <c r="E857">
        <v>0.02</v>
      </c>
      <c r="F857">
        <v>5850.46</v>
      </c>
      <c r="G857">
        <v>6.45</v>
      </c>
      <c r="H857">
        <v>15087</v>
      </c>
      <c r="I857">
        <v>46209</v>
      </c>
      <c r="J857">
        <v>10</v>
      </c>
      <c r="K857" t="s">
        <v>53</v>
      </c>
      <c r="L857" s="1">
        <v>44770</v>
      </c>
      <c r="M857" t="s">
        <v>83</v>
      </c>
      <c r="N857" t="s">
        <v>23</v>
      </c>
      <c r="O857">
        <v>6435.5060000000003</v>
      </c>
      <c r="P857">
        <v>585.04600000000005</v>
      </c>
      <c r="Q857">
        <v>0.39</v>
      </c>
    </row>
    <row r="858" spans="1:17">
      <c r="A858" t="s">
        <v>67</v>
      </c>
      <c r="B858" t="s">
        <v>29</v>
      </c>
      <c r="C858" t="s">
        <v>40</v>
      </c>
      <c r="D858" t="s">
        <v>50</v>
      </c>
      <c r="E858">
        <v>0.02</v>
      </c>
      <c r="F858">
        <v>8215.91</v>
      </c>
      <c r="G858">
        <v>7.83</v>
      </c>
      <c r="H858">
        <v>21504</v>
      </c>
      <c r="I858">
        <v>65217</v>
      </c>
      <c r="J858">
        <v>9</v>
      </c>
      <c r="K858" t="s">
        <v>37</v>
      </c>
      <c r="L858" s="1">
        <v>44799</v>
      </c>
      <c r="M858" t="s">
        <v>94</v>
      </c>
      <c r="N858" t="s">
        <v>32</v>
      </c>
      <c r="O858">
        <v>9037.5010000000002</v>
      </c>
      <c r="P858">
        <v>821.59100000000001</v>
      </c>
      <c r="Q858">
        <v>0.38</v>
      </c>
    </row>
    <row r="859" spans="1:17">
      <c r="A859" t="s">
        <v>24</v>
      </c>
      <c r="B859" t="s">
        <v>34</v>
      </c>
      <c r="C859" t="s">
        <v>19</v>
      </c>
      <c r="D859" t="s">
        <v>20</v>
      </c>
      <c r="E859">
        <v>0.05</v>
      </c>
      <c r="F859">
        <v>1052.82</v>
      </c>
      <c r="G859">
        <v>3.6</v>
      </c>
      <c r="H859">
        <v>2959</v>
      </c>
      <c r="I859">
        <v>10286</v>
      </c>
      <c r="J859">
        <v>8</v>
      </c>
      <c r="K859" t="s">
        <v>53</v>
      </c>
      <c r="L859" s="1">
        <v>44607</v>
      </c>
      <c r="M859" t="s">
        <v>104</v>
      </c>
      <c r="N859" t="s">
        <v>60</v>
      </c>
      <c r="O859">
        <v>1158.1020000000001</v>
      </c>
      <c r="P859">
        <v>105.282</v>
      </c>
      <c r="Q859">
        <v>0.36</v>
      </c>
    </row>
    <row r="860" spans="1:17">
      <c r="A860" t="s">
        <v>33</v>
      </c>
      <c r="B860" t="s">
        <v>18</v>
      </c>
      <c r="C860" t="s">
        <v>35</v>
      </c>
      <c r="D860" t="s">
        <v>20</v>
      </c>
      <c r="E860">
        <v>0.03</v>
      </c>
      <c r="F860">
        <v>15000</v>
      </c>
      <c r="G860">
        <v>0.08</v>
      </c>
      <c r="H860">
        <v>38797</v>
      </c>
      <c r="I860">
        <v>116438</v>
      </c>
      <c r="J860">
        <v>10</v>
      </c>
      <c r="K860" t="s">
        <v>21</v>
      </c>
      <c r="L860" s="1">
        <v>44711</v>
      </c>
      <c r="M860" t="s">
        <v>26</v>
      </c>
      <c r="N860" t="s">
        <v>44</v>
      </c>
      <c r="O860">
        <v>16500</v>
      </c>
      <c r="P860">
        <v>1500</v>
      </c>
      <c r="Q860">
        <v>0.39</v>
      </c>
    </row>
    <row r="861" spans="1:17">
      <c r="A861" t="s">
        <v>24</v>
      </c>
      <c r="B861" t="s">
        <v>25</v>
      </c>
      <c r="C861" t="s">
        <v>30</v>
      </c>
      <c r="D861" t="s">
        <v>42</v>
      </c>
      <c r="E861">
        <v>0.03</v>
      </c>
      <c r="F861">
        <v>5511</v>
      </c>
      <c r="G861">
        <v>1.2440809551439</v>
      </c>
      <c r="H861">
        <v>8317</v>
      </c>
      <c r="I861">
        <v>28062</v>
      </c>
      <c r="J861">
        <v>1</v>
      </c>
      <c r="K861" t="s">
        <v>37</v>
      </c>
      <c r="L861" s="1">
        <v>44772</v>
      </c>
      <c r="M861" t="s">
        <v>99</v>
      </c>
      <c r="N861" t="s">
        <v>23</v>
      </c>
      <c r="O861">
        <v>6062.1</v>
      </c>
      <c r="P861">
        <v>551.1</v>
      </c>
      <c r="Q861">
        <v>0.66</v>
      </c>
    </row>
    <row r="862" spans="1:17">
      <c r="A862" t="s">
        <v>55</v>
      </c>
      <c r="B862" t="s">
        <v>34</v>
      </c>
      <c r="C862" t="s">
        <v>35</v>
      </c>
      <c r="D862" t="s">
        <v>42</v>
      </c>
      <c r="E862">
        <v>0.05</v>
      </c>
      <c r="F862">
        <v>11921</v>
      </c>
      <c r="G862">
        <v>0.63097784075545504</v>
      </c>
      <c r="H862">
        <v>18539</v>
      </c>
      <c r="I862">
        <v>61347</v>
      </c>
      <c r="J862">
        <v>1</v>
      </c>
      <c r="K862" t="s">
        <v>53</v>
      </c>
      <c r="L862" s="1">
        <v>44762</v>
      </c>
      <c r="M862" t="s">
        <v>54</v>
      </c>
      <c r="N862" t="s">
        <v>23</v>
      </c>
      <c r="O862">
        <v>13113.1</v>
      </c>
      <c r="P862">
        <v>1192.0999999999999</v>
      </c>
      <c r="Q862">
        <v>0.64</v>
      </c>
    </row>
    <row r="863" spans="1:17">
      <c r="A863" t="s">
        <v>39</v>
      </c>
      <c r="B863" t="s">
        <v>18</v>
      </c>
      <c r="C863" t="s">
        <v>40</v>
      </c>
      <c r="D863" t="s">
        <v>50</v>
      </c>
      <c r="E863">
        <v>0.03</v>
      </c>
      <c r="F863">
        <v>7998.82</v>
      </c>
      <c r="G863">
        <v>1.85</v>
      </c>
      <c r="H863">
        <v>20910</v>
      </c>
      <c r="I863">
        <v>63457</v>
      </c>
      <c r="J863">
        <v>2</v>
      </c>
      <c r="K863" t="s">
        <v>51</v>
      </c>
      <c r="L863" s="1">
        <v>44630</v>
      </c>
      <c r="M863" t="s">
        <v>59</v>
      </c>
      <c r="N863" t="s">
        <v>81</v>
      </c>
      <c r="O863">
        <v>8798.7019999999993</v>
      </c>
      <c r="P863">
        <v>799.88200000000097</v>
      </c>
      <c r="Q863">
        <v>0.38</v>
      </c>
    </row>
    <row r="864" spans="1:17">
      <c r="A864" t="s">
        <v>17</v>
      </c>
      <c r="B864" t="s">
        <v>34</v>
      </c>
      <c r="C864" t="s">
        <v>30</v>
      </c>
      <c r="D864" t="s">
        <v>36</v>
      </c>
      <c r="E864">
        <v>0.11</v>
      </c>
      <c r="F864">
        <v>4408.63</v>
      </c>
      <c r="G864">
        <v>2.88</v>
      </c>
      <c r="H864">
        <v>11160</v>
      </c>
      <c r="I864">
        <v>34577</v>
      </c>
      <c r="J864">
        <v>9</v>
      </c>
      <c r="K864" t="s">
        <v>51</v>
      </c>
      <c r="L864" s="1">
        <v>44788</v>
      </c>
      <c r="M864" t="s">
        <v>72</v>
      </c>
      <c r="N864" t="s">
        <v>32</v>
      </c>
      <c r="O864">
        <v>4849.4930000000004</v>
      </c>
      <c r="P864">
        <v>440.863</v>
      </c>
      <c r="Q864">
        <v>0.4</v>
      </c>
    </row>
    <row r="865" spans="1:17">
      <c r="A865" t="s">
        <v>39</v>
      </c>
      <c r="B865" t="s">
        <v>18</v>
      </c>
      <c r="C865" t="s">
        <v>35</v>
      </c>
      <c r="D865" t="s">
        <v>20</v>
      </c>
      <c r="E865">
        <v>0.05</v>
      </c>
      <c r="F865">
        <v>13127.35</v>
      </c>
      <c r="G865">
        <v>5.91</v>
      </c>
      <c r="H865">
        <v>34693</v>
      </c>
      <c r="I865">
        <v>104282</v>
      </c>
      <c r="J865">
        <v>9</v>
      </c>
      <c r="K865" t="s">
        <v>51</v>
      </c>
      <c r="L865" s="1">
        <v>44636</v>
      </c>
      <c r="M865" t="s">
        <v>92</v>
      </c>
      <c r="N865" t="s">
        <v>81</v>
      </c>
      <c r="O865">
        <v>14440.084999999999</v>
      </c>
      <c r="P865">
        <v>1312.7349999999999</v>
      </c>
      <c r="Q865">
        <v>0.38</v>
      </c>
    </row>
    <row r="866" spans="1:17">
      <c r="A866" t="s">
        <v>39</v>
      </c>
      <c r="B866" t="s">
        <v>25</v>
      </c>
      <c r="C866" t="s">
        <v>19</v>
      </c>
      <c r="D866" t="s">
        <v>20</v>
      </c>
      <c r="E866">
        <v>0.05</v>
      </c>
      <c r="F866">
        <v>1927.95</v>
      </c>
      <c r="G866">
        <v>7.02</v>
      </c>
      <c r="H866">
        <v>4729</v>
      </c>
      <c r="I866">
        <v>15528</v>
      </c>
      <c r="J866">
        <v>9</v>
      </c>
      <c r="K866" t="s">
        <v>21</v>
      </c>
      <c r="L866" s="1">
        <v>44922</v>
      </c>
      <c r="M866" t="s">
        <v>22</v>
      </c>
      <c r="N866" t="s">
        <v>63</v>
      </c>
      <c r="O866">
        <v>2120.7449999999999</v>
      </c>
      <c r="P866">
        <v>192.79499999999999</v>
      </c>
      <c r="Q866">
        <v>0.41</v>
      </c>
    </row>
    <row r="867" spans="1:17">
      <c r="A867" t="s">
        <v>67</v>
      </c>
      <c r="B867" t="s">
        <v>34</v>
      </c>
      <c r="C867" t="s">
        <v>40</v>
      </c>
      <c r="D867" t="s">
        <v>36</v>
      </c>
      <c r="E867">
        <v>0.13</v>
      </c>
      <c r="F867">
        <v>7872.23</v>
      </c>
      <c r="G867">
        <v>5.56</v>
      </c>
      <c r="H867">
        <v>20561</v>
      </c>
      <c r="I867">
        <v>62423</v>
      </c>
      <c r="J867">
        <v>7</v>
      </c>
      <c r="K867" t="s">
        <v>46</v>
      </c>
      <c r="L867" s="1">
        <v>44626</v>
      </c>
      <c r="M867" t="s">
        <v>88</v>
      </c>
      <c r="N867" t="s">
        <v>81</v>
      </c>
      <c r="O867">
        <v>8659.4529999999995</v>
      </c>
      <c r="P867">
        <v>787.22299999999996</v>
      </c>
      <c r="Q867">
        <v>0.38</v>
      </c>
    </row>
    <row r="868" spans="1:17">
      <c r="A868" t="s">
        <v>17</v>
      </c>
      <c r="B868" t="s">
        <v>18</v>
      </c>
      <c r="C868" t="s">
        <v>30</v>
      </c>
      <c r="D868" t="s">
        <v>20</v>
      </c>
      <c r="E868">
        <v>0.1</v>
      </c>
      <c r="F868">
        <v>7214.7</v>
      </c>
      <c r="G868">
        <v>4.76</v>
      </c>
      <c r="H868">
        <v>18782</v>
      </c>
      <c r="I868">
        <v>57154</v>
      </c>
      <c r="J868">
        <v>10</v>
      </c>
      <c r="K868" t="s">
        <v>21</v>
      </c>
      <c r="L868" s="1">
        <v>44889</v>
      </c>
      <c r="M868" t="s">
        <v>71</v>
      </c>
      <c r="N868" t="s">
        <v>41</v>
      </c>
      <c r="O868">
        <v>7936.17</v>
      </c>
      <c r="P868">
        <v>721.47</v>
      </c>
      <c r="Q868">
        <v>0.38</v>
      </c>
    </row>
    <row r="869" spans="1:17">
      <c r="A869" t="s">
        <v>67</v>
      </c>
      <c r="B869" t="s">
        <v>18</v>
      </c>
      <c r="C869" t="s">
        <v>40</v>
      </c>
      <c r="D869" t="s">
        <v>36</v>
      </c>
      <c r="E869">
        <v>0.12</v>
      </c>
      <c r="F869">
        <v>10687.52</v>
      </c>
      <c r="G869">
        <v>3.1</v>
      </c>
      <c r="H869">
        <v>28230</v>
      </c>
      <c r="I869">
        <v>85139</v>
      </c>
      <c r="J869">
        <v>2</v>
      </c>
      <c r="K869" t="s">
        <v>21</v>
      </c>
      <c r="L869" s="1">
        <v>44644</v>
      </c>
      <c r="M869" t="s">
        <v>26</v>
      </c>
      <c r="N869" t="s">
        <v>81</v>
      </c>
      <c r="O869">
        <v>11756.272000000001</v>
      </c>
      <c r="P869">
        <v>1068.752</v>
      </c>
      <c r="Q869">
        <v>0.38</v>
      </c>
    </row>
    <row r="870" spans="1:17">
      <c r="A870" t="s">
        <v>28</v>
      </c>
      <c r="B870" t="s">
        <v>18</v>
      </c>
      <c r="C870" t="s">
        <v>35</v>
      </c>
      <c r="D870" t="s">
        <v>50</v>
      </c>
      <c r="E870">
        <v>0.02</v>
      </c>
      <c r="F870">
        <v>13256.89</v>
      </c>
      <c r="G870">
        <v>0.47</v>
      </c>
      <c r="H870">
        <v>35008</v>
      </c>
      <c r="I870">
        <v>105215</v>
      </c>
      <c r="J870">
        <v>9</v>
      </c>
      <c r="K870" t="s">
        <v>21</v>
      </c>
      <c r="L870" s="1">
        <v>44715</v>
      </c>
      <c r="M870" t="s">
        <v>77</v>
      </c>
      <c r="N870" t="s">
        <v>69</v>
      </c>
      <c r="O870">
        <v>14582.579</v>
      </c>
      <c r="P870">
        <v>1325.6890000000001</v>
      </c>
      <c r="Q870">
        <v>0.38</v>
      </c>
    </row>
    <row r="871" spans="1:17">
      <c r="A871" t="s">
        <v>45</v>
      </c>
      <c r="B871" t="s">
        <v>18</v>
      </c>
      <c r="C871" t="s">
        <v>30</v>
      </c>
      <c r="D871" t="s">
        <v>42</v>
      </c>
      <c r="E871">
        <v>0.05</v>
      </c>
      <c r="F871">
        <v>6462.78</v>
      </c>
      <c r="G871">
        <v>1.1958191939529701</v>
      </c>
      <c r="H871">
        <v>9834</v>
      </c>
      <c r="I871">
        <v>33004</v>
      </c>
      <c r="J871">
        <v>1</v>
      </c>
      <c r="K871" t="s">
        <v>37</v>
      </c>
      <c r="L871" s="1">
        <v>44665</v>
      </c>
      <c r="M871" t="s">
        <v>90</v>
      </c>
      <c r="N871" t="s">
        <v>73</v>
      </c>
      <c r="O871">
        <v>7109.058</v>
      </c>
      <c r="P871">
        <v>646.27800000000002</v>
      </c>
      <c r="Q871">
        <v>0.66</v>
      </c>
    </row>
    <row r="872" spans="1:17">
      <c r="A872" t="s">
        <v>49</v>
      </c>
      <c r="B872" t="s">
        <v>18</v>
      </c>
      <c r="C872" t="s">
        <v>30</v>
      </c>
      <c r="D872" t="s">
        <v>36</v>
      </c>
      <c r="E872">
        <v>0.09</v>
      </c>
      <c r="F872">
        <v>5643.04</v>
      </c>
      <c r="G872">
        <v>0.23</v>
      </c>
      <c r="H872">
        <v>14526</v>
      </c>
      <c r="I872">
        <v>44547</v>
      </c>
      <c r="J872">
        <v>4</v>
      </c>
      <c r="K872" t="s">
        <v>21</v>
      </c>
      <c r="L872" s="1">
        <v>44572</v>
      </c>
      <c r="M872" t="s">
        <v>61</v>
      </c>
      <c r="N872" t="s">
        <v>27</v>
      </c>
      <c r="O872">
        <v>6207.3440000000001</v>
      </c>
      <c r="P872">
        <v>564.30399999999997</v>
      </c>
      <c r="Q872">
        <v>0.39</v>
      </c>
    </row>
    <row r="873" spans="1:17">
      <c r="A873" t="s">
        <v>45</v>
      </c>
      <c r="B873" t="s">
        <v>25</v>
      </c>
      <c r="C873" t="s">
        <v>40</v>
      </c>
      <c r="D873" t="s">
        <v>36</v>
      </c>
      <c r="E873">
        <v>0.13</v>
      </c>
      <c r="F873">
        <v>10334.11</v>
      </c>
      <c r="G873">
        <v>6.19</v>
      </c>
      <c r="H873">
        <v>27258</v>
      </c>
      <c r="I873">
        <v>82259</v>
      </c>
      <c r="J873">
        <v>5</v>
      </c>
      <c r="K873" t="s">
        <v>46</v>
      </c>
      <c r="L873" s="1">
        <v>44633</v>
      </c>
      <c r="M873" t="s">
        <v>87</v>
      </c>
      <c r="N873" t="s">
        <v>81</v>
      </c>
      <c r="O873">
        <v>11367.521000000001</v>
      </c>
      <c r="P873">
        <v>1033.4110000000001</v>
      </c>
      <c r="Q873">
        <v>0.38</v>
      </c>
    </row>
    <row r="874" spans="1:17">
      <c r="A874" t="s">
        <v>67</v>
      </c>
      <c r="B874" t="s">
        <v>34</v>
      </c>
      <c r="C874" t="s">
        <v>30</v>
      </c>
      <c r="D874" t="s">
        <v>42</v>
      </c>
      <c r="E874">
        <v>0.11</v>
      </c>
      <c r="F874">
        <v>6239.38</v>
      </c>
      <c r="G874">
        <v>0.61131564175174402</v>
      </c>
      <c r="H874">
        <v>9480</v>
      </c>
      <c r="I874">
        <v>31848</v>
      </c>
      <c r="J874">
        <v>1</v>
      </c>
      <c r="K874" t="s">
        <v>46</v>
      </c>
      <c r="L874" s="1">
        <v>44646</v>
      </c>
      <c r="M874" t="s">
        <v>86</v>
      </c>
      <c r="N874" t="s">
        <v>81</v>
      </c>
      <c r="O874">
        <v>6863.3180000000002</v>
      </c>
      <c r="P874">
        <v>623.93800000000101</v>
      </c>
      <c r="Q874">
        <v>0.66</v>
      </c>
    </row>
    <row r="875" spans="1:17">
      <c r="A875" t="s">
        <v>17</v>
      </c>
      <c r="B875" t="s">
        <v>29</v>
      </c>
      <c r="C875" t="s">
        <v>35</v>
      </c>
      <c r="D875" t="s">
        <v>36</v>
      </c>
      <c r="E875">
        <v>0.11</v>
      </c>
      <c r="F875">
        <v>15000</v>
      </c>
      <c r="G875">
        <v>2.94</v>
      </c>
      <c r="H875">
        <v>39291</v>
      </c>
      <c r="I875">
        <v>117902</v>
      </c>
      <c r="J875">
        <v>10</v>
      </c>
      <c r="K875" t="s">
        <v>53</v>
      </c>
      <c r="L875" s="1">
        <v>44750</v>
      </c>
      <c r="M875" t="s">
        <v>54</v>
      </c>
      <c r="N875" t="s">
        <v>23</v>
      </c>
      <c r="O875">
        <v>16500</v>
      </c>
      <c r="P875">
        <v>1500</v>
      </c>
      <c r="Q875">
        <v>0.38</v>
      </c>
    </row>
    <row r="876" spans="1:17">
      <c r="A876" t="s">
        <v>45</v>
      </c>
      <c r="B876" t="s">
        <v>34</v>
      </c>
      <c r="C876" t="s">
        <v>35</v>
      </c>
      <c r="D876" t="s">
        <v>36</v>
      </c>
      <c r="E876">
        <v>0.08</v>
      </c>
      <c r="F876">
        <v>12965.75</v>
      </c>
      <c r="G876">
        <v>7.99</v>
      </c>
      <c r="H876">
        <v>34286</v>
      </c>
      <c r="I876">
        <v>103077</v>
      </c>
      <c r="J876">
        <v>9</v>
      </c>
      <c r="K876" t="s">
        <v>46</v>
      </c>
      <c r="L876" s="1">
        <v>44840</v>
      </c>
      <c r="M876" t="s">
        <v>93</v>
      </c>
      <c r="N876" t="s">
        <v>57</v>
      </c>
      <c r="O876">
        <v>14262.325000000001</v>
      </c>
      <c r="P876">
        <v>1296.575</v>
      </c>
      <c r="Q876">
        <v>0.38</v>
      </c>
    </row>
    <row r="877" spans="1:17">
      <c r="A877" t="s">
        <v>33</v>
      </c>
      <c r="B877" t="s">
        <v>25</v>
      </c>
      <c r="C877" t="s">
        <v>40</v>
      </c>
      <c r="D877" t="s">
        <v>42</v>
      </c>
      <c r="E877">
        <v>0.13</v>
      </c>
      <c r="F877">
        <v>9894.83</v>
      </c>
      <c r="G877">
        <v>0.57735366165442503</v>
      </c>
      <c r="H877">
        <v>15312</v>
      </c>
      <c r="I877">
        <v>50839</v>
      </c>
      <c r="J877">
        <v>1</v>
      </c>
      <c r="K877" t="s">
        <v>46</v>
      </c>
      <c r="L877" s="1">
        <v>44740</v>
      </c>
      <c r="M877" t="s">
        <v>95</v>
      </c>
      <c r="N877" t="s">
        <v>69</v>
      </c>
      <c r="O877">
        <v>10884.313</v>
      </c>
      <c r="P877">
        <v>989.48299999999995</v>
      </c>
      <c r="Q877">
        <v>0.65</v>
      </c>
    </row>
    <row r="878" spans="1:17">
      <c r="A878" t="s">
        <v>49</v>
      </c>
      <c r="B878" t="s">
        <v>25</v>
      </c>
      <c r="C878" t="s">
        <v>19</v>
      </c>
      <c r="D878" t="s">
        <v>20</v>
      </c>
      <c r="E878">
        <v>0.15</v>
      </c>
      <c r="F878">
        <v>4116.37</v>
      </c>
      <c r="G878">
        <v>7.3</v>
      </c>
      <c r="H878">
        <v>10361</v>
      </c>
      <c r="I878">
        <v>32209</v>
      </c>
      <c r="J878">
        <v>10</v>
      </c>
      <c r="K878" t="s">
        <v>46</v>
      </c>
      <c r="L878" s="1">
        <v>44892</v>
      </c>
      <c r="M878" t="s">
        <v>98</v>
      </c>
      <c r="N878" t="s">
        <v>41</v>
      </c>
      <c r="O878">
        <v>4528.0069999999996</v>
      </c>
      <c r="P878">
        <v>411.637</v>
      </c>
      <c r="Q878">
        <v>0.4</v>
      </c>
    </row>
    <row r="879" spans="1:17">
      <c r="A879" t="s">
        <v>17</v>
      </c>
      <c r="B879" t="s">
        <v>25</v>
      </c>
      <c r="C879" t="s">
        <v>40</v>
      </c>
      <c r="D879" t="s">
        <v>20</v>
      </c>
      <c r="E879">
        <v>0.13</v>
      </c>
      <c r="F879">
        <v>10249.66</v>
      </c>
      <c r="G879">
        <v>0.39</v>
      </c>
      <c r="H879">
        <v>27034</v>
      </c>
      <c r="I879">
        <v>81595</v>
      </c>
      <c r="J879">
        <v>2</v>
      </c>
      <c r="K879" t="s">
        <v>53</v>
      </c>
      <c r="L879" s="1">
        <v>44871</v>
      </c>
      <c r="M879" t="s">
        <v>83</v>
      </c>
      <c r="N879" t="s">
        <v>41</v>
      </c>
      <c r="O879">
        <v>11274.626</v>
      </c>
      <c r="P879">
        <v>1024.9659999999999</v>
      </c>
      <c r="Q879">
        <v>0.38</v>
      </c>
    </row>
    <row r="880" spans="1:17">
      <c r="A880" t="s">
        <v>17</v>
      </c>
      <c r="B880" t="s">
        <v>18</v>
      </c>
      <c r="C880" t="s">
        <v>40</v>
      </c>
      <c r="D880" t="s">
        <v>50</v>
      </c>
      <c r="E880">
        <v>0.03</v>
      </c>
      <c r="F880">
        <v>10842.07</v>
      </c>
      <c r="G880">
        <v>1.34</v>
      </c>
      <c r="H880">
        <v>28643</v>
      </c>
      <c r="I880">
        <v>86360</v>
      </c>
      <c r="J880">
        <v>4</v>
      </c>
      <c r="K880" t="s">
        <v>46</v>
      </c>
      <c r="L880" s="1">
        <v>44874</v>
      </c>
      <c r="M880" t="s">
        <v>86</v>
      </c>
      <c r="N880" t="s">
        <v>41</v>
      </c>
      <c r="O880">
        <v>11926.277</v>
      </c>
      <c r="P880">
        <v>1084.2070000000001</v>
      </c>
      <c r="Q880">
        <v>0.38</v>
      </c>
    </row>
    <row r="881" spans="1:17">
      <c r="A881" t="s">
        <v>33</v>
      </c>
      <c r="B881" t="s">
        <v>18</v>
      </c>
      <c r="C881" t="s">
        <v>35</v>
      </c>
      <c r="D881" t="s">
        <v>42</v>
      </c>
      <c r="E881">
        <v>0.06</v>
      </c>
      <c r="F881">
        <v>15000</v>
      </c>
      <c r="G881">
        <v>1.22263128350348</v>
      </c>
      <c r="H881">
        <v>23063</v>
      </c>
      <c r="I881">
        <v>76079</v>
      </c>
      <c r="J881">
        <v>1</v>
      </c>
      <c r="K881" t="s">
        <v>21</v>
      </c>
      <c r="L881" s="1">
        <v>44657</v>
      </c>
      <c r="M881" t="s">
        <v>31</v>
      </c>
      <c r="N881" t="s">
        <v>73</v>
      </c>
      <c r="O881">
        <v>16500</v>
      </c>
      <c r="P881">
        <v>1500</v>
      </c>
      <c r="Q881">
        <v>0.65</v>
      </c>
    </row>
    <row r="882" spans="1:17">
      <c r="A882" t="s">
        <v>45</v>
      </c>
      <c r="B882" t="s">
        <v>34</v>
      </c>
      <c r="C882" t="s">
        <v>40</v>
      </c>
      <c r="D882" t="s">
        <v>42</v>
      </c>
      <c r="E882">
        <v>0.09</v>
      </c>
      <c r="F882">
        <v>9202</v>
      </c>
      <c r="G882">
        <v>1.0903583083876101</v>
      </c>
      <c r="H882">
        <v>14198</v>
      </c>
      <c r="I882">
        <v>47212</v>
      </c>
      <c r="J882">
        <v>1</v>
      </c>
      <c r="K882" t="s">
        <v>51</v>
      </c>
      <c r="L882" s="1">
        <v>44696</v>
      </c>
      <c r="M882" t="s">
        <v>72</v>
      </c>
      <c r="N882" t="s">
        <v>44</v>
      </c>
      <c r="O882">
        <v>10122.200000000001</v>
      </c>
      <c r="P882">
        <v>920.2</v>
      </c>
      <c r="Q882">
        <v>0.65</v>
      </c>
    </row>
    <row r="883" spans="1:17">
      <c r="A883" t="s">
        <v>28</v>
      </c>
      <c r="B883" t="s">
        <v>34</v>
      </c>
      <c r="C883" t="s">
        <v>40</v>
      </c>
      <c r="D883" t="s">
        <v>42</v>
      </c>
      <c r="E883">
        <v>0.1</v>
      </c>
      <c r="F883">
        <v>9843.39</v>
      </c>
      <c r="G883">
        <v>1.1511323780354401</v>
      </c>
      <c r="H883">
        <v>15232</v>
      </c>
      <c r="I883">
        <v>50581</v>
      </c>
      <c r="J883">
        <v>1</v>
      </c>
      <c r="K883" t="s">
        <v>51</v>
      </c>
      <c r="L883" s="1">
        <v>44596</v>
      </c>
      <c r="M883" t="s">
        <v>75</v>
      </c>
      <c r="N883" t="s">
        <v>60</v>
      </c>
      <c r="O883">
        <v>10827.728999999999</v>
      </c>
      <c r="P883">
        <v>984.33899999999903</v>
      </c>
      <c r="Q883">
        <v>0.65</v>
      </c>
    </row>
    <row r="884" spans="1:17">
      <c r="A884" t="s">
        <v>39</v>
      </c>
      <c r="B884" t="s">
        <v>34</v>
      </c>
      <c r="C884" t="s">
        <v>30</v>
      </c>
      <c r="D884" t="s">
        <v>36</v>
      </c>
      <c r="E884">
        <v>0.1</v>
      </c>
      <c r="F884">
        <v>7448.26</v>
      </c>
      <c r="G884">
        <v>1.69</v>
      </c>
      <c r="H884">
        <v>19397</v>
      </c>
      <c r="I884">
        <v>58975</v>
      </c>
      <c r="J884">
        <v>7</v>
      </c>
      <c r="K884" t="s">
        <v>37</v>
      </c>
      <c r="L884" s="1">
        <v>44815</v>
      </c>
      <c r="M884" t="s">
        <v>56</v>
      </c>
      <c r="N884" t="s">
        <v>65</v>
      </c>
      <c r="O884">
        <v>8193.0859999999993</v>
      </c>
      <c r="P884">
        <v>744.82600000000002</v>
      </c>
      <c r="Q884">
        <v>0.38</v>
      </c>
    </row>
    <row r="885" spans="1:17">
      <c r="A885" t="s">
        <v>49</v>
      </c>
      <c r="B885" t="s">
        <v>18</v>
      </c>
      <c r="C885" t="s">
        <v>19</v>
      </c>
      <c r="D885" t="s">
        <v>42</v>
      </c>
      <c r="E885">
        <v>0.14000000000000001</v>
      </c>
      <c r="F885">
        <v>1603.67</v>
      </c>
      <c r="G885">
        <v>0.99204731336905805</v>
      </c>
      <c r="H885">
        <v>2359</v>
      </c>
      <c r="I885">
        <v>8664</v>
      </c>
      <c r="J885">
        <v>1</v>
      </c>
      <c r="K885" t="s">
        <v>53</v>
      </c>
      <c r="L885" s="1">
        <v>44741</v>
      </c>
      <c r="M885" t="s">
        <v>102</v>
      </c>
      <c r="N885" t="s">
        <v>69</v>
      </c>
      <c r="O885">
        <v>1764.037</v>
      </c>
      <c r="P885">
        <v>160.36699999999999</v>
      </c>
      <c r="Q885">
        <v>0.68</v>
      </c>
    </row>
    <row r="886" spans="1:17">
      <c r="A886" t="s">
        <v>24</v>
      </c>
      <c r="B886" t="s">
        <v>29</v>
      </c>
      <c r="C886" t="s">
        <v>30</v>
      </c>
      <c r="D886" t="s">
        <v>50</v>
      </c>
      <c r="E886">
        <v>0.11</v>
      </c>
      <c r="F886">
        <v>4999.97</v>
      </c>
      <c r="G886">
        <v>5.41</v>
      </c>
      <c r="H886">
        <v>12772</v>
      </c>
      <c r="I886">
        <v>39351</v>
      </c>
      <c r="J886">
        <v>2</v>
      </c>
      <c r="K886" t="s">
        <v>37</v>
      </c>
      <c r="L886" s="1">
        <v>44679</v>
      </c>
      <c r="M886" t="s">
        <v>99</v>
      </c>
      <c r="N886" t="s">
        <v>73</v>
      </c>
      <c r="O886">
        <v>5499.9669999999996</v>
      </c>
      <c r="P886">
        <v>499.99700000000001</v>
      </c>
      <c r="Q886">
        <v>0.39</v>
      </c>
    </row>
    <row r="887" spans="1:17">
      <c r="A887" t="s">
        <v>24</v>
      </c>
      <c r="B887" t="s">
        <v>18</v>
      </c>
      <c r="C887" t="s">
        <v>19</v>
      </c>
      <c r="D887" t="s">
        <v>50</v>
      </c>
      <c r="E887">
        <v>0.02</v>
      </c>
      <c r="F887">
        <v>3463.8</v>
      </c>
      <c r="G887">
        <v>1.54</v>
      </c>
      <c r="H887">
        <v>8587</v>
      </c>
      <c r="I887">
        <v>26956</v>
      </c>
      <c r="J887">
        <v>10</v>
      </c>
      <c r="K887" t="s">
        <v>53</v>
      </c>
      <c r="L887" s="1">
        <v>44794</v>
      </c>
      <c r="M887" t="s">
        <v>66</v>
      </c>
      <c r="N887" t="s">
        <v>32</v>
      </c>
      <c r="O887">
        <v>3810.18</v>
      </c>
      <c r="P887">
        <v>346.38</v>
      </c>
      <c r="Q887">
        <v>0.4</v>
      </c>
    </row>
    <row r="888" spans="1:17">
      <c r="A888" t="s">
        <v>24</v>
      </c>
      <c r="B888" t="s">
        <v>18</v>
      </c>
      <c r="C888" t="s">
        <v>35</v>
      </c>
      <c r="D888" t="s">
        <v>42</v>
      </c>
      <c r="E888">
        <v>0.12</v>
      </c>
      <c r="F888">
        <v>15000</v>
      </c>
      <c r="G888">
        <v>1.0885708357509101</v>
      </c>
      <c r="H888">
        <v>23383</v>
      </c>
      <c r="I888">
        <v>77122</v>
      </c>
      <c r="J888">
        <v>1</v>
      </c>
      <c r="K888" t="s">
        <v>51</v>
      </c>
      <c r="L888" s="1">
        <v>44828</v>
      </c>
      <c r="M888" t="s">
        <v>92</v>
      </c>
      <c r="N888" t="s">
        <v>65</v>
      </c>
      <c r="O888">
        <v>16500</v>
      </c>
      <c r="P888">
        <v>1500</v>
      </c>
      <c r="Q888">
        <v>0.64</v>
      </c>
    </row>
    <row r="889" spans="1:17">
      <c r="A889" t="s">
        <v>24</v>
      </c>
      <c r="B889" t="s">
        <v>29</v>
      </c>
      <c r="C889" t="s">
        <v>40</v>
      </c>
      <c r="D889" t="s">
        <v>42</v>
      </c>
      <c r="E889">
        <v>0.03</v>
      </c>
      <c r="F889">
        <v>9368.5300000000007</v>
      </c>
      <c r="G889">
        <v>1.3030675521550299</v>
      </c>
      <c r="H889">
        <v>14455</v>
      </c>
      <c r="I889">
        <v>48050</v>
      </c>
      <c r="J889">
        <v>1</v>
      </c>
      <c r="K889" t="s">
        <v>53</v>
      </c>
      <c r="L889" s="1">
        <v>44819</v>
      </c>
      <c r="M889" t="s">
        <v>54</v>
      </c>
      <c r="N889" t="s">
        <v>65</v>
      </c>
      <c r="O889">
        <v>10305.383</v>
      </c>
      <c r="P889">
        <v>936.85300000000097</v>
      </c>
      <c r="Q889">
        <v>0.65</v>
      </c>
    </row>
    <row r="890" spans="1:17">
      <c r="A890" t="s">
        <v>49</v>
      </c>
      <c r="B890" t="s">
        <v>18</v>
      </c>
      <c r="C890" t="s">
        <v>30</v>
      </c>
      <c r="D890" t="s">
        <v>20</v>
      </c>
      <c r="E890">
        <v>0.12</v>
      </c>
      <c r="F890">
        <v>6318.16</v>
      </c>
      <c r="G890">
        <v>2.2799999999999998</v>
      </c>
      <c r="H890">
        <v>16361</v>
      </c>
      <c r="I890">
        <v>49981</v>
      </c>
      <c r="J890">
        <v>2</v>
      </c>
      <c r="K890" t="s">
        <v>21</v>
      </c>
      <c r="L890" s="1">
        <v>44602</v>
      </c>
      <c r="M890" t="s">
        <v>61</v>
      </c>
      <c r="N890" t="s">
        <v>60</v>
      </c>
      <c r="O890">
        <v>6949.9759999999997</v>
      </c>
      <c r="P890">
        <v>631.81600000000003</v>
      </c>
      <c r="Q890">
        <v>0.39</v>
      </c>
    </row>
    <row r="891" spans="1:17">
      <c r="A891" t="s">
        <v>49</v>
      </c>
      <c r="B891" t="s">
        <v>25</v>
      </c>
      <c r="C891" t="s">
        <v>30</v>
      </c>
      <c r="D891" t="s">
        <v>20</v>
      </c>
      <c r="E891">
        <v>0.13</v>
      </c>
      <c r="F891">
        <v>6675.95</v>
      </c>
      <c r="G891">
        <v>3.34</v>
      </c>
      <c r="H891">
        <v>17311</v>
      </c>
      <c r="I891">
        <v>52796</v>
      </c>
      <c r="J891">
        <v>3</v>
      </c>
      <c r="K891" t="s">
        <v>46</v>
      </c>
      <c r="L891" s="1">
        <v>44778</v>
      </c>
      <c r="M891" t="s">
        <v>98</v>
      </c>
      <c r="N891" t="s">
        <v>32</v>
      </c>
      <c r="O891">
        <v>7343.5450000000001</v>
      </c>
      <c r="P891">
        <v>667.59500000000003</v>
      </c>
      <c r="Q891">
        <v>0.39</v>
      </c>
    </row>
    <row r="892" spans="1:17">
      <c r="A892" t="s">
        <v>49</v>
      </c>
      <c r="B892" t="s">
        <v>29</v>
      </c>
      <c r="C892" t="s">
        <v>35</v>
      </c>
      <c r="D892" t="s">
        <v>42</v>
      </c>
      <c r="E892">
        <v>0.11</v>
      </c>
      <c r="F892">
        <v>13034.39</v>
      </c>
      <c r="G892">
        <v>0.25024616913814002</v>
      </c>
      <c r="H892">
        <v>20240</v>
      </c>
      <c r="I892">
        <v>66887</v>
      </c>
      <c r="J892">
        <v>1</v>
      </c>
      <c r="K892" t="s">
        <v>37</v>
      </c>
      <c r="L892" s="1">
        <v>44832</v>
      </c>
      <c r="M892" t="s">
        <v>56</v>
      </c>
      <c r="N892" t="s">
        <v>65</v>
      </c>
      <c r="O892">
        <v>14337.829</v>
      </c>
      <c r="P892">
        <v>1303.4390000000001</v>
      </c>
      <c r="Q892">
        <v>0.64</v>
      </c>
    </row>
    <row r="893" spans="1:17">
      <c r="A893" t="s">
        <v>45</v>
      </c>
      <c r="B893" t="s">
        <v>18</v>
      </c>
      <c r="C893" t="s">
        <v>30</v>
      </c>
      <c r="D893" t="s">
        <v>50</v>
      </c>
      <c r="E893">
        <v>0.09</v>
      </c>
      <c r="F893">
        <v>4801.46</v>
      </c>
      <c r="G893">
        <v>6.29</v>
      </c>
      <c r="H893">
        <v>12229</v>
      </c>
      <c r="I893">
        <v>37743</v>
      </c>
      <c r="J893">
        <v>3</v>
      </c>
      <c r="K893" t="s">
        <v>51</v>
      </c>
      <c r="L893" s="1">
        <v>44907</v>
      </c>
      <c r="M893" t="s">
        <v>79</v>
      </c>
      <c r="N893" t="s">
        <v>63</v>
      </c>
      <c r="O893">
        <v>5281.6059999999998</v>
      </c>
      <c r="P893">
        <v>480.14600000000002</v>
      </c>
      <c r="Q893">
        <v>0.39</v>
      </c>
    </row>
    <row r="894" spans="1:17">
      <c r="A894" t="s">
        <v>24</v>
      </c>
      <c r="B894" t="s">
        <v>18</v>
      </c>
      <c r="C894" t="s">
        <v>30</v>
      </c>
      <c r="D894" t="s">
        <v>20</v>
      </c>
      <c r="E894">
        <v>0.14000000000000001</v>
      </c>
      <c r="F894">
        <v>5170.91</v>
      </c>
      <c r="G894">
        <v>0.2</v>
      </c>
      <c r="H894">
        <v>13250</v>
      </c>
      <c r="I894">
        <v>40767</v>
      </c>
      <c r="J894">
        <v>9</v>
      </c>
      <c r="K894" t="s">
        <v>37</v>
      </c>
      <c r="L894" s="1">
        <v>44562</v>
      </c>
      <c r="M894" t="s">
        <v>91</v>
      </c>
      <c r="N894" t="s">
        <v>27</v>
      </c>
      <c r="O894">
        <v>5688.0010000000002</v>
      </c>
      <c r="P894">
        <v>517.09100000000001</v>
      </c>
      <c r="Q894">
        <v>0.39</v>
      </c>
    </row>
    <row r="895" spans="1:17">
      <c r="A895" t="s">
        <v>45</v>
      </c>
      <c r="B895" t="s">
        <v>34</v>
      </c>
      <c r="C895" t="s">
        <v>40</v>
      </c>
      <c r="D895" t="s">
        <v>20</v>
      </c>
      <c r="E895">
        <v>0.1</v>
      </c>
      <c r="F895">
        <v>11074.83</v>
      </c>
      <c r="G895">
        <v>7.0000000000000007E-2</v>
      </c>
      <c r="H895">
        <v>29279</v>
      </c>
      <c r="I895">
        <v>88245</v>
      </c>
      <c r="J895">
        <v>2</v>
      </c>
      <c r="K895" t="s">
        <v>46</v>
      </c>
      <c r="L895" s="1">
        <v>44608</v>
      </c>
      <c r="M895" t="s">
        <v>93</v>
      </c>
      <c r="N895" t="s">
        <v>60</v>
      </c>
      <c r="O895">
        <v>12182.313</v>
      </c>
      <c r="P895">
        <v>1107.4829999999999</v>
      </c>
      <c r="Q895">
        <v>0.38</v>
      </c>
    </row>
    <row r="896" spans="1:17">
      <c r="A896" t="s">
        <v>67</v>
      </c>
      <c r="B896" t="s">
        <v>25</v>
      </c>
      <c r="C896" t="s">
        <v>40</v>
      </c>
      <c r="D896" t="s">
        <v>50</v>
      </c>
      <c r="E896">
        <v>0.13</v>
      </c>
      <c r="F896">
        <v>8351.74</v>
      </c>
      <c r="G896">
        <v>0.87</v>
      </c>
      <c r="H896">
        <v>21877</v>
      </c>
      <c r="I896">
        <v>66321</v>
      </c>
      <c r="J896">
        <v>6</v>
      </c>
      <c r="K896" t="s">
        <v>53</v>
      </c>
      <c r="L896" s="1">
        <v>44708</v>
      </c>
      <c r="M896" t="s">
        <v>54</v>
      </c>
      <c r="N896" t="s">
        <v>44</v>
      </c>
      <c r="O896">
        <v>9186.9140000000007</v>
      </c>
      <c r="P896">
        <v>835.17399999999998</v>
      </c>
      <c r="Q896">
        <v>0.38</v>
      </c>
    </row>
    <row r="897" spans="1:17">
      <c r="A897" t="s">
        <v>17</v>
      </c>
      <c r="B897" t="s">
        <v>25</v>
      </c>
      <c r="C897" t="s">
        <v>35</v>
      </c>
      <c r="D897" t="s">
        <v>20</v>
      </c>
      <c r="E897">
        <v>0.05</v>
      </c>
      <c r="F897">
        <v>11768.78</v>
      </c>
      <c r="G897">
        <v>7.85</v>
      </c>
      <c r="H897">
        <v>31169</v>
      </c>
      <c r="I897">
        <v>93842</v>
      </c>
      <c r="J897">
        <v>7</v>
      </c>
      <c r="K897" t="s">
        <v>51</v>
      </c>
      <c r="L897" s="1">
        <v>44835</v>
      </c>
      <c r="M897" t="s">
        <v>62</v>
      </c>
      <c r="N897" t="s">
        <v>57</v>
      </c>
      <c r="O897">
        <v>12945.657999999999</v>
      </c>
      <c r="P897">
        <v>1176.8779999999999</v>
      </c>
      <c r="Q897">
        <v>0.38</v>
      </c>
    </row>
    <row r="898" spans="1:17">
      <c r="A898" t="s">
        <v>24</v>
      </c>
      <c r="B898" t="s">
        <v>34</v>
      </c>
      <c r="C898" t="s">
        <v>30</v>
      </c>
      <c r="D898" t="s">
        <v>36</v>
      </c>
      <c r="E898">
        <v>0.1</v>
      </c>
      <c r="F898">
        <v>5871.15</v>
      </c>
      <c r="G898">
        <v>1.72</v>
      </c>
      <c r="H898">
        <v>15147</v>
      </c>
      <c r="I898">
        <v>46387</v>
      </c>
      <c r="J898">
        <v>4</v>
      </c>
      <c r="K898" t="s">
        <v>53</v>
      </c>
      <c r="L898" s="1">
        <v>44759</v>
      </c>
      <c r="M898" t="s">
        <v>104</v>
      </c>
      <c r="N898" t="s">
        <v>23</v>
      </c>
      <c r="O898">
        <v>6458.2650000000003</v>
      </c>
      <c r="P898">
        <v>587.11500000000001</v>
      </c>
      <c r="Q898">
        <v>0.39</v>
      </c>
    </row>
    <row r="899" spans="1:17">
      <c r="A899" t="s">
        <v>39</v>
      </c>
      <c r="B899" t="s">
        <v>29</v>
      </c>
      <c r="C899" t="s">
        <v>40</v>
      </c>
      <c r="D899" t="s">
        <v>20</v>
      </c>
      <c r="E899">
        <v>0.13</v>
      </c>
      <c r="F899">
        <v>7997.3</v>
      </c>
      <c r="G899">
        <v>5.52</v>
      </c>
      <c r="H899">
        <v>20905</v>
      </c>
      <c r="I899">
        <v>63442</v>
      </c>
      <c r="J899">
        <v>3</v>
      </c>
      <c r="K899" t="s">
        <v>46</v>
      </c>
      <c r="L899" s="1">
        <v>44749</v>
      </c>
      <c r="M899" t="s">
        <v>86</v>
      </c>
      <c r="N899" t="s">
        <v>23</v>
      </c>
      <c r="O899">
        <v>8797.0300000000007</v>
      </c>
      <c r="P899">
        <v>799.73</v>
      </c>
      <c r="Q899">
        <v>0.38</v>
      </c>
    </row>
    <row r="900" spans="1:17">
      <c r="A900" t="s">
        <v>24</v>
      </c>
      <c r="B900" t="s">
        <v>25</v>
      </c>
      <c r="C900" t="s">
        <v>19</v>
      </c>
      <c r="D900" t="s">
        <v>42</v>
      </c>
      <c r="E900">
        <v>0.09</v>
      </c>
      <c r="F900">
        <v>500</v>
      </c>
      <c r="G900">
        <v>1.1725820496758601</v>
      </c>
      <c r="H900">
        <v>774</v>
      </c>
      <c r="I900">
        <v>3504</v>
      </c>
      <c r="J900">
        <v>1</v>
      </c>
      <c r="K900" t="s">
        <v>21</v>
      </c>
      <c r="L900" s="1">
        <v>44925</v>
      </c>
      <c r="M900" t="s">
        <v>80</v>
      </c>
      <c r="N900" t="s">
        <v>63</v>
      </c>
      <c r="O900">
        <v>550</v>
      </c>
      <c r="P900">
        <v>50</v>
      </c>
      <c r="Q900">
        <v>0.65</v>
      </c>
    </row>
    <row r="901" spans="1:17">
      <c r="A901" t="s">
        <v>33</v>
      </c>
      <c r="B901" t="s">
        <v>34</v>
      </c>
      <c r="C901" t="s">
        <v>40</v>
      </c>
      <c r="D901" t="s">
        <v>42</v>
      </c>
      <c r="E901">
        <v>7.0000000000000007E-2</v>
      </c>
      <c r="F901">
        <v>10188.07</v>
      </c>
      <c r="G901">
        <v>0.81866246760906003</v>
      </c>
      <c r="H901">
        <v>15778</v>
      </c>
      <c r="I901">
        <v>52356</v>
      </c>
      <c r="J901">
        <v>1</v>
      </c>
      <c r="K901" t="s">
        <v>53</v>
      </c>
      <c r="L901" s="1">
        <v>44858</v>
      </c>
      <c r="M901" t="s">
        <v>54</v>
      </c>
      <c r="N901" t="s">
        <v>57</v>
      </c>
      <c r="O901">
        <v>11206.877</v>
      </c>
      <c r="P901">
        <v>1018.807</v>
      </c>
      <c r="Q901">
        <v>0.65</v>
      </c>
    </row>
    <row r="902" spans="1:17">
      <c r="A902" t="s">
        <v>49</v>
      </c>
      <c r="B902" t="s">
        <v>18</v>
      </c>
      <c r="C902" t="s">
        <v>40</v>
      </c>
      <c r="D902" t="s">
        <v>20</v>
      </c>
      <c r="E902">
        <v>0.1</v>
      </c>
      <c r="F902">
        <v>11144.29</v>
      </c>
      <c r="G902">
        <v>6.87</v>
      </c>
      <c r="H902">
        <v>29470</v>
      </c>
      <c r="I902">
        <v>88811</v>
      </c>
      <c r="J902">
        <v>6</v>
      </c>
      <c r="K902" t="s">
        <v>21</v>
      </c>
      <c r="L902" s="1">
        <v>44763</v>
      </c>
      <c r="M902" t="s">
        <v>80</v>
      </c>
      <c r="N902" t="s">
        <v>23</v>
      </c>
      <c r="O902">
        <v>12258.718999999999</v>
      </c>
      <c r="P902">
        <v>1114.4290000000001</v>
      </c>
      <c r="Q902">
        <v>0.38</v>
      </c>
    </row>
    <row r="903" spans="1:17">
      <c r="A903" t="s">
        <v>45</v>
      </c>
      <c r="B903" t="s">
        <v>29</v>
      </c>
      <c r="C903" t="s">
        <v>35</v>
      </c>
      <c r="D903" t="s">
        <v>50</v>
      </c>
      <c r="E903">
        <v>0.06</v>
      </c>
      <c r="F903">
        <v>12426.62</v>
      </c>
      <c r="G903">
        <v>1.63</v>
      </c>
      <c r="H903">
        <v>32895</v>
      </c>
      <c r="I903">
        <v>98956</v>
      </c>
      <c r="J903">
        <v>8</v>
      </c>
      <c r="K903" t="s">
        <v>51</v>
      </c>
      <c r="L903" s="1">
        <v>44591</v>
      </c>
      <c r="M903" t="s">
        <v>97</v>
      </c>
      <c r="N903" t="s">
        <v>27</v>
      </c>
      <c r="O903">
        <v>13669.281999999999</v>
      </c>
      <c r="P903">
        <v>1242.662</v>
      </c>
      <c r="Q903">
        <v>0.38</v>
      </c>
    </row>
    <row r="904" spans="1:17">
      <c r="A904" t="s">
        <v>33</v>
      </c>
      <c r="B904" t="s">
        <v>29</v>
      </c>
      <c r="C904" t="s">
        <v>19</v>
      </c>
      <c r="D904" t="s">
        <v>36</v>
      </c>
      <c r="E904">
        <v>0.05</v>
      </c>
      <c r="F904">
        <v>1696.02</v>
      </c>
      <c r="G904">
        <v>3.99</v>
      </c>
      <c r="H904">
        <v>4213</v>
      </c>
      <c r="I904">
        <v>13998</v>
      </c>
      <c r="J904">
        <v>10</v>
      </c>
      <c r="K904" t="s">
        <v>21</v>
      </c>
      <c r="L904" s="1">
        <v>44760</v>
      </c>
      <c r="M904" t="s">
        <v>103</v>
      </c>
      <c r="N904" t="s">
        <v>23</v>
      </c>
      <c r="O904">
        <v>1865.6220000000001</v>
      </c>
      <c r="P904">
        <v>169.602</v>
      </c>
      <c r="Q904">
        <v>0.4</v>
      </c>
    </row>
    <row r="905" spans="1:17">
      <c r="A905" t="s">
        <v>33</v>
      </c>
      <c r="B905" t="s">
        <v>29</v>
      </c>
      <c r="C905" t="s">
        <v>35</v>
      </c>
      <c r="D905" t="s">
        <v>20</v>
      </c>
      <c r="E905">
        <v>0.05</v>
      </c>
      <c r="F905">
        <v>13567.09</v>
      </c>
      <c r="G905">
        <v>5.87</v>
      </c>
      <c r="H905">
        <v>35738</v>
      </c>
      <c r="I905">
        <v>107376</v>
      </c>
      <c r="J905">
        <v>9</v>
      </c>
      <c r="K905" t="s">
        <v>37</v>
      </c>
      <c r="L905" s="1">
        <v>44690</v>
      </c>
      <c r="M905" t="s">
        <v>64</v>
      </c>
      <c r="N905" t="s">
        <v>44</v>
      </c>
      <c r="O905">
        <v>14923.799000000001</v>
      </c>
      <c r="P905">
        <v>1356.7090000000001</v>
      </c>
      <c r="Q905">
        <v>0.38</v>
      </c>
    </row>
    <row r="906" spans="1:17">
      <c r="A906" t="s">
        <v>45</v>
      </c>
      <c r="B906" t="s">
        <v>34</v>
      </c>
      <c r="C906" t="s">
        <v>35</v>
      </c>
      <c r="D906" t="s">
        <v>42</v>
      </c>
      <c r="E906">
        <v>0.03</v>
      </c>
      <c r="F906">
        <v>13539.5</v>
      </c>
      <c r="G906">
        <v>1.0885708357509101</v>
      </c>
      <c r="H906">
        <v>20952</v>
      </c>
      <c r="I906">
        <v>69205</v>
      </c>
      <c r="J906">
        <v>1</v>
      </c>
      <c r="K906" t="s">
        <v>53</v>
      </c>
      <c r="L906" s="1">
        <v>44819</v>
      </c>
      <c r="M906" t="s">
        <v>54</v>
      </c>
      <c r="N906" t="s">
        <v>65</v>
      </c>
      <c r="O906">
        <v>14893.45</v>
      </c>
      <c r="P906">
        <v>1353.95</v>
      </c>
      <c r="Q906">
        <v>0.65</v>
      </c>
    </row>
    <row r="907" spans="1:17">
      <c r="A907" t="s">
        <v>55</v>
      </c>
      <c r="B907" t="s">
        <v>34</v>
      </c>
      <c r="C907" t="s">
        <v>35</v>
      </c>
      <c r="D907" t="s">
        <v>36</v>
      </c>
      <c r="E907">
        <v>0.05</v>
      </c>
      <c r="F907">
        <v>12178.1</v>
      </c>
      <c r="G907">
        <v>5.08</v>
      </c>
      <c r="H907">
        <v>32241</v>
      </c>
      <c r="I907">
        <v>97019</v>
      </c>
      <c r="J907">
        <v>7</v>
      </c>
      <c r="K907" t="s">
        <v>21</v>
      </c>
      <c r="L907" s="1">
        <v>44745</v>
      </c>
      <c r="M907" t="s">
        <v>31</v>
      </c>
      <c r="N907" t="s">
        <v>23</v>
      </c>
      <c r="O907">
        <v>13395.91</v>
      </c>
      <c r="P907">
        <v>1217.81</v>
      </c>
      <c r="Q907">
        <v>0.38</v>
      </c>
    </row>
    <row r="908" spans="1:17">
      <c r="A908" t="s">
        <v>28</v>
      </c>
      <c r="B908" t="s">
        <v>29</v>
      </c>
      <c r="C908" t="s">
        <v>19</v>
      </c>
      <c r="D908" t="s">
        <v>42</v>
      </c>
      <c r="E908">
        <v>0.04</v>
      </c>
      <c r="F908">
        <v>1007.46</v>
      </c>
      <c r="G908">
        <v>0.24309627859133601</v>
      </c>
      <c r="H908">
        <v>1688</v>
      </c>
      <c r="I908">
        <v>6480</v>
      </c>
      <c r="J908">
        <v>1</v>
      </c>
      <c r="K908" t="s">
        <v>51</v>
      </c>
      <c r="L908" s="1">
        <v>44878</v>
      </c>
      <c r="M908" t="s">
        <v>92</v>
      </c>
      <c r="N908" t="s">
        <v>41</v>
      </c>
      <c r="O908">
        <v>1108.2059999999999</v>
      </c>
      <c r="P908">
        <v>100.746</v>
      </c>
      <c r="Q908">
        <v>0.6</v>
      </c>
    </row>
    <row r="909" spans="1:17">
      <c r="A909" t="s">
        <v>17</v>
      </c>
      <c r="B909" t="s">
        <v>34</v>
      </c>
      <c r="C909" t="s">
        <v>35</v>
      </c>
      <c r="D909" t="s">
        <v>20</v>
      </c>
      <c r="E909">
        <v>0.05</v>
      </c>
      <c r="F909">
        <v>12867.71</v>
      </c>
      <c r="G909">
        <v>0.92</v>
      </c>
      <c r="H909">
        <v>34043</v>
      </c>
      <c r="I909">
        <v>102357</v>
      </c>
      <c r="J909">
        <v>2</v>
      </c>
      <c r="K909" t="s">
        <v>51</v>
      </c>
      <c r="L909" s="1">
        <v>44572</v>
      </c>
      <c r="M909" t="s">
        <v>97</v>
      </c>
      <c r="N909" t="s">
        <v>27</v>
      </c>
      <c r="O909">
        <v>14154.481</v>
      </c>
      <c r="P909">
        <v>1286.771</v>
      </c>
      <c r="Q909">
        <v>0.38</v>
      </c>
    </row>
    <row r="910" spans="1:17">
      <c r="A910" t="s">
        <v>33</v>
      </c>
      <c r="B910" t="s">
        <v>34</v>
      </c>
      <c r="C910" t="s">
        <v>19</v>
      </c>
      <c r="D910" t="s">
        <v>50</v>
      </c>
      <c r="E910">
        <v>0.15</v>
      </c>
      <c r="F910">
        <v>500</v>
      </c>
      <c r="G910">
        <v>1.1499999999999999</v>
      </c>
      <c r="H910">
        <v>552</v>
      </c>
      <c r="I910">
        <v>3156</v>
      </c>
      <c r="J910">
        <v>8</v>
      </c>
      <c r="K910" t="s">
        <v>21</v>
      </c>
      <c r="L910" s="1">
        <v>44669</v>
      </c>
      <c r="M910" t="s">
        <v>48</v>
      </c>
      <c r="N910" t="s">
        <v>73</v>
      </c>
      <c r="O910">
        <v>550</v>
      </c>
      <c r="P910">
        <v>50</v>
      </c>
      <c r="Q910">
        <v>0.91</v>
      </c>
    </row>
    <row r="911" spans="1:17">
      <c r="A911" t="s">
        <v>55</v>
      </c>
      <c r="B911" t="s">
        <v>34</v>
      </c>
      <c r="C911" t="s">
        <v>30</v>
      </c>
      <c r="D911" t="s">
        <v>42</v>
      </c>
      <c r="E911">
        <v>0.15</v>
      </c>
      <c r="F911">
        <v>6236</v>
      </c>
      <c r="G911">
        <v>1.0689086367472</v>
      </c>
      <c r="H911">
        <v>9474</v>
      </c>
      <c r="I911">
        <v>31832</v>
      </c>
      <c r="J911">
        <v>1</v>
      </c>
      <c r="K911" t="s">
        <v>21</v>
      </c>
      <c r="L911" s="1">
        <v>44618</v>
      </c>
      <c r="M911" t="s">
        <v>48</v>
      </c>
      <c r="N911" t="s">
        <v>60</v>
      </c>
      <c r="O911">
        <v>6859.6</v>
      </c>
      <c r="P911">
        <v>623.6</v>
      </c>
      <c r="Q911">
        <v>0.66</v>
      </c>
    </row>
    <row r="912" spans="1:17">
      <c r="A912" t="s">
        <v>39</v>
      </c>
      <c r="B912" t="s">
        <v>18</v>
      </c>
      <c r="C912" t="s">
        <v>19</v>
      </c>
      <c r="D912" t="s">
        <v>42</v>
      </c>
      <c r="E912">
        <v>0.03</v>
      </c>
      <c r="F912">
        <v>2431.5700000000002</v>
      </c>
      <c r="G912">
        <v>1.3084299700651301</v>
      </c>
      <c r="H912">
        <v>3489</v>
      </c>
      <c r="I912">
        <v>12342</v>
      </c>
      <c r="J912">
        <v>1</v>
      </c>
      <c r="K912" t="s">
        <v>53</v>
      </c>
      <c r="L912" s="1">
        <v>44666</v>
      </c>
      <c r="M912" t="s">
        <v>58</v>
      </c>
      <c r="N912" t="s">
        <v>73</v>
      </c>
      <c r="O912">
        <v>2674.7269999999999</v>
      </c>
      <c r="P912">
        <v>243.15700000000001</v>
      </c>
      <c r="Q912">
        <v>0.7</v>
      </c>
    </row>
    <row r="913" spans="1:17">
      <c r="A913" t="s">
        <v>49</v>
      </c>
      <c r="B913" t="s">
        <v>34</v>
      </c>
      <c r="C913" t="s">
        <v>40</v>
      </c>
      <c r="D913" t="s">
        <v>20</v>
      </c>
      <c r="E913">
        <v>0.13</v>
      </c>
      <c r="F913">
        <v>10891.73</v>
      </c>
      <c r="G913">
        <v>6.78</v>
      </c>
      <c r="H913">
        <v>28779</v>
      </c>
      <c r="I913">
        <v>86764</v>
      </c>
      <c r="J913">
        <v>5</v>
      </c>
      <c r="K913" t="s">
        <v>37</v>
      </c>
      <c r="L913" s="1">
        <v>44601</v>
      </c>
      <c r="M913" t="s">
        <v>56</v>
      </c>
      <c r="N913" t="s">
        <v>60</v>
      </c>
      <c r="O913">
        <v>11980.903</v>
      </c>
      <c r="P913">
        <v>1089.173</v>
      </c>
      <c r="Q913">
        <v>0.38</v>
      </c>
    </row>
    <row r="914" spans="1:17">
      <c r="A914" t="s">
        <v>39</v>
      </c>
      <c r="B914" t="s">
        <v>34</v>
      </c>
      <c r="C914" t="s">
        <v>30</v>
      </c>
      <c r="D914" t="s">
        <v>20</v>
      </c>
      <c r="E914">
        <v>0.12</v>
      </c>
      <c r="F914">
        <v>7671.23</v>
      </c>
      <c r="G914">
        <v>5.92</v>
      </c>
      <c r="H914">
        <v>20010</v>
      </c>
      <c r="I914">
        <v>60790</v>
      </c>
      <c r="J914">
        <v>6</v>
      </c>
      <c r="K914" t="s">
        <v>46</v>
      </c>
      <c r="L914" s="1">
        <v>44766</v>
      </c>
      <c r="M914" t="s">
        <v>98</v>
      </c>
      <c r="N914" t="s">
        <v>23</v>
      </c>
      <c r="O914">
        <v>8438.3529999999992</v>
      </c>
      <c r="P914">
        <v>767.12300000000096</v>
      </c>
      <c r="Q914">
        <v>0.38</v>
      </c>
    </row>
    <row r="915" spans="1:17">
      <c r="A915" t="s">
        <v>28</v>
      </c>
      <c r="B915" t="s">
        <v>18</v>
      </c>
      <c r="C915" t="s">
        <v>19</v>
      </c>
      <c r="D915" t="s">
        <v>36</v>
      </c>
      <c r="E915">
        <v>0.04</v>
      </c>
      <c r="F915">
        <v>3965.37</v>
      </c>
      <c r="G915">
        <v>1.01</v>
      </c>
      <c r="H915">
        <v>9943</v>
      </c>
      <c r="I915">
        <v>30970</v>
      </c>
      <c r="J915">
        <v>4</v>
      </c>
      <c r="K915" t="s">
        <v>46</v>
      </c>
      <c r="L915" s="1">
        <v>44606</v>
      </c>
      <c r="M915" t="s">
        <v>86</v>
      </c>
      <c r="N915" t="s">
        <v>60</v>
      </c>
      <c r="O915">
        <v>4361.9070000000002</v>
      </c>
      <c r="P915">
        <v>396.53699999999998</v>
      </c>
      <c r="Q915">
        <v>0.4</v>
      </c>
    </row>
    <row r="916" spans="1:17">
      <c r="A916" t="s">
        <v>17</v>
      </c>
      <c r="B916" t="s">
        <v>34</v>
      </c>
      <c r="C916" t="s">
        <v>40</v>
      </c>
      <c r="D916" t="s">
        <v>42</v>
      </c>
      <c r="E916">
        <v>0.05</v>
      </c>
      <c r="F916">
        <v>8664.84</v>
      </c>
      <c r="G916">
        <v>0.64170267657566105</v>
      </c>
      <c r="H916">
        <v>13350</v>
      </c>
      <c r="I916">
        <v>44451</v>
      </c>
      <c r="J916">
        <v>1</v>
      </c>
      <c r="K916" t="s">
        <v>46</v>
      </c>
      <c r="L916" s="1">
        <v>44782</v>
      </c>
      <c r="M916" t="s">
        <v>95</v>
      </c>
      <c r="N916" t="s">
        <v>32</v>
      </c>
      <c r="O916">
        <v>9531.3240000000005</v>
      </c>
      <c r="P916">
        <v>866.48400000000004</v>
      </c>
      <c r="Q916">
        <v>0.65</v>
      </c>
    </row>
    <row r="917" spans="1:17">
      <c r="A917" t="s">
        <v>17</v>
      </c>
      <c r="B917" t="s">
        <v>18</v>
      </c>
      <c r="C917" t="s">
        <v>19</v>
      </c>
      <c r="D917" t="s">
        <v>42</v>
      </c>
      <c r="E917">
        <v>0.04</v>
      </c>
      <c r="F917">
        <v>1376.49</v>
      </c>
      <c r="G917">
        <v>1.0814209452040999</v>
      </c>
      <c r="H917">
        <v>2090</v>
      </c>
      <c r="I917">
        <v>7789</v>
      </c>
      <c r="J917">
        <v>1</v>
      </c>
      <c r="K917" t="s">
        <v>51</v>
      </c>
      <c r="L917" s="1">
        <v>44857</v>
      </c>
      <c r="M917" t="s">
        <v>52</v>
      </c>
      <c r="N917" t="s">
        <v>57</v>
      </c>
      <c r="O917">
        <v>1514.1389999999999</v>
      </c>
      <c r="P917">
        <v>137.649</v>
      </c>
      <c r="Q917">
        <v>0.66</v>
      </c>
    </row>
    <row r="918" spans="1:17">
      <c r="A918" t="s">
        <v>67</v>
      </c>
      <c r="B918" t="s">
        <v>18</v>
      </c>
      <c r="C918" t="s">
        <v>35</v>
      </c>
      <c r="D918" t="s">
        <v>50</v>
      </c>
      <c r="E918">
        <v>0.08</v>
      </c>
      <c r="F918">
        <v>14176.89</v>
      </c>
      <c r="G918">
        <v>5.61</v>
      </c>
      <c r="H918">
        <v>37035</v>
      </c>
      <c r="I918">
        <v>111219</v>
      </c>
      <c r="J918">
        <v>9</v>
      </c>
      <c r="K918" t="s">
        <v>46</v>
      </c>
      <c r="L918" s="1">
        <v>44707</v>
      </c>
      <c r="M918" t="s">
        <v>96</v>
      </c>
      <c r="N918" t="s">
        <v>44</v>
      </c>
      <c r="O918">
        <v>15594.579</v>
      </c>
      <c r="P918">
        <v>1417.6890000000001</v>
      </c>
      <c r="Q918">
        <v>0.38</v>
      </c>
    </row>
    <row r="919" spans="1:17">
      <c r="A919" t="s">
        <v>17</v>
      </c>
      <c r="B919" t="s">
        <v>29</v>
      </c>
      <c r="C919" t="s">
        <v>30</v>
      </c>
      <c r="D919" t="s">
        <v>36</v>
      </c>
      <c r="E919">
        <v>0.03</v>
      </c>
      <c r="F919">
        <v>4502.5600000000004</v>
      </c>
      <c r="G919">
        <v>3.64</v>
      </c>
      <c r="H919">
        <v>11415</v>
      </c>
      <c r="I919">
        <v>35332</v>
      </c>
      <c r="J919">
        <v>7</v>
      </c>
      <c r="K919" t="s">
        <v>46</v>
      </c>
      <c r="L919" s="1">
        <v>44851</v>
      </c>
      <c r="M919" t="s">
        <v>93</v>
      </c>
      <c r="N919" t="s">
        <v>57</v>
      </c>
      <c r="O919">
        <v>4952.8159999999998</v>
      </c>
      <c r="P919">
        <v>450.25599999999997</v>
      </c>
      <c r="Q919">
        <v>0.39</v>
      </c>
    </row>
    <row r="920" spans="1:17">
      <c r="A920" t="s">
        <v>67</v>
      </c>
      <c r="B920" t="s">
        <v>34</v>
      </c>
      <c r="C920" t="s">
        <v>19</v>
      </c>
      <c r="D920" t="s">
        <v>42</v>
      </c>
      <c r="E920">
        <v>0.06</v>
      </c>
      <c r="F920">
        <v>2903.33</v>
      </c>
      <c r="G920">
        <v>0.72392641786390699</v>
      </c>
      <c r="H920">
        <v>4183</v>
      </c>
      <c r="I920">
        <v>14603</v>
      </c>
      <c r="J920">
        <v>1</v>
      </c>
      <c r="K920" t="s">
        <v>46</v>
      </c>
      <c r="L920" s="1">
        <v>44644</v>
      </c>
      <c r="M920" t="s">
        <v>95</v>
      </c>
      <c r="N920" t="s">
        <v>81</v>
      </c>
      <c r="O920">
        <v>3193.663</v>
      </c>
      <c r="P920">
        <v>290.33300000000003</v>
      </c>
      <c r="Q920">
        <v>0.69</v>
      </c>
    </row>
    <row r="921" spans="1:17">
      <c r="A921" t="s">
        <v>67</v>
      </c>
      <c r="B921" t="s">
        <v>25</v>
      </c>
      <c r="C921" t="s">
        <v>35</v>
      </c>
      <c r="D921" t="s">
        <v>20</v>
      </c>
      <c r="E921">
        <v>0.11</v>
      </c>
      <c r="F921">
        <v>13222.56</v>
      </c>
      <c r="G921">
        <v>6.89</v>
      </c>
      <c r="H921">
        <v>34926</v>
      </c>
      <c r="I921">
        <v>104973</v>
      </c>
      <c r="J921">
        <v>4</v>
      </c>
      <c r="K921" t="s">
        <v>37</v>
      </c>
      <c r="L921" s="1">
        <v>44580</v>
      </c>
      <c r="M921" t="s">
        <v>38</v>
      </c>
      <c r="N921" t="s">
        <v>27</v>
      </c>
      <c r="O921">
        <v>14544.816000000001</v>
      </c>
      <c r="P921">
        <v>1322.2560000000001</v>
      </c>
      <c r="Q921">
        <v>0.38</v>
      </c>
    </row>
    <row r="922" spans="1:17">
      <c r="A922" t="s">
        <v>67</v>
      </c>
      <c r="B922" t="s">
        <v>18</v>
      </c>
      <c r="C922" t="s">
        <v>19</v>
      </c>
      <c r="D922" t="s">
        <v>50</v>
      </c>
      <c r="E922">
        <v>0.11</v>
      </c>
      <c r="F922">
        <v>1733.34</v>
      </c>
      <c r="G922">
        <v>0.46</v>
      </c>
      <c r="H922">
        <v>4291</v>
      </c>
      <c r="I922">
        <v>14229</v>
      </c>
      <c r="J922">
        <v>4</v>
      </c>
      <c r="K922" t="s">
        <v>53</v>
      </c>
      <c r="L922" s="1">
        <v>44621</v>
      </c>
      <c r="M922" t="s">
        <v>54</v>
      </c>
      <c r="N922" t="s">
        <v>81</v>
      </c>
      <c r="O922">
        <v>1906.674</v>
      </c>
      <c r="P922">
        <v>173.334</v>
      </c>
      <c r="Q922">
        <v>0.4</v>
      </c>
    </row>
    <row r="923" spans="1:17">
      <c r="A923" t="s">
        <v>49</v>
      </c>
      <c r="B923" t="s">
        <v>25</v>
      </c>
      <c r="C923" t="s">
        <v>19</v>
      </c>
      <c r="D923" t="s">
        <v>36</v>
      </c>
      <c r="E923">
        <v>0.14000000000000001</v>
      </c>
      <c r="F923">
        <v>1239.4100000000001</v>
      </c>
      <c r="G923">
        <v>5.74</v>
      </c>
      <c r="H923">
        <v>3296</v>
      </c>
      <c r="I923">
        <v>11283</v>
      </c>
      <c r="J923">
        <v>1</v>
      </c>
      <c r="K923" t="s">
        <v>46</v>
      </c>
      <c r="L923" s="1">
        <v>44816</v>
      </c>
      <c r="M923" t="s">
        <v>96</v>
      </c>
      <c r="N923" t="s">
        <v>65</v>
      </c>
      <c r="O923">
        <v>1363.3510000000001</v>
      </c>
      <c r="P923">
        <v>123.941</v>
      </c>
      <c r="Q923">
        <v>0.38</v>
      </c>
    </row>
    <row r="924" spans="1:17">
      <c r="A924" t="s">
        <v>28</v>
      </c>
      <c r="B924" t="s">
        <v>34</v>
      </c>
      <c r="C924" t="s">
        <v>19</v>
      </c>
      <c r="D924" t="s">
        <v>42</v>
      </c>
      <c r="E924">
        <v>0.12</v>
      </c>
      <c r="F924">
        <v>500</v>
      </c>
      <c r="G924">
        <v>0.65957740294267098</v>
      </c>
      <c r="H924">
        <v>649</v>
      </c>
      <c r="I924">
        <v>3096</v>
      </c>
      <c r="J924">
        <v>1</v>
      </c>
      <c r="K924" t="s">
        <v>51</v>
      </c>
      <c r="L924" s="1">
        <v>44674</v>
      </c>
      <c r="M924" t="s">
        <v>59</v>
      </c>
      <c r="N924" t="s">
        <v>73</v>
      </c>
      <c r="O924">
        <v>550</v>
      </c>
      <c r="P924">
        <v>50</v>
      </c>
      <c r="Q924">
        <v>0.77</v>
      </c>
    </row>
    <row r="925" spans="1:17">
      <c r="A925" t="s">
        <v>39</v>
      </c>
      <c r="B925" t="s">
        <v>29</v>
      </c>
      <c r="C925" t="s">
        <v>40</v>
      </c>
      <c r="D925" t="s">
        <v>42</v>
      </c>
      <c r="E925">
        <v>0.04</v>
      </c>
      <c r="F925">
        <v>9856.58</v>
      </c>
      <c r="G925">
        <v>0.46474288554226101</v>
      </c>
      <c r="H925">
        <v>15254</v>
      </c>
      <c r="I925">
        <v>50650</v>
      </c>
      <c r="J925">
        <v>1</v>
      </c>
      <c r="K925" t="s">
        <v>37</v>
      </c>
      <c r="L925" s="1">
        <v>44802</v>
      </c>
      <c r="M925" t="s">
        <v>90</v>
      </c>
      <c r="N925" t="s">
        <v>32</v>
      </c>
      <c r="O925">
        <v>10842.237999999999</v>
      </c>
      <c r="P925">
        <v>985.65800000000104</v>
      </c>
      <c r="Q925">
        <v>0.65</v>
      </c>
    </row>
    <row r="926" spans="1:17">
      <c r="A926" t="s">
        <v>55</v>
      </c>
      <c r="B926" t="s">
        <v>25</v>
      </c>
      <c r="C926" t="s">
        <v>40</v>
      </c>
      <c r="D926" t="s">
        <v>50</v>
      </c>
      <c r="E926">
        <v>0.14000000000000001</v>
      </c>
      <c r="F926">
        <v>8539.42</v>
      </c>
      <c r="G926">
        <v>7.79</v>
      </c>
      <c r="H926">
        <v>22396</v>
      </c>
      <c r="I926">
        <v>67857</v>
      </c>
      <c r="J926">
        <v>10</v>
      </c>
      <c r="K926" t="s">
        <v>37</v>
      </c>
      <c r="L926" s="1">
        <v>44609</v>
      </c>
      <c r="M926" t="s">
        <v>64</v>
      </c>
      <c r="N926" t="s">
        <v>60</v>
      </c>
      <c r="O926">
        <v>9393.3619999999992</v>
      </c>
      <c r="P926">
        <v>853.94200000000001</v>
      </c>
      <c r="Q926">
        <v>0.38</v>
      </c>
    </row>
    <row r="927" spans="1:17">
      <c r="A927" t="s">
        <v>24</v>
      </c>
      <c r="B927" t="s">
        <v>18</v>
      </c>
      <c r="C927" t="s">
        <v>19</v>
      </c>
      <c r="D927" t="s">
        <v>42</v>
      </c>
      <c r="E927">
        <v>0.11</v>
      </c>
      <c r="F927">
        <v>2280.39</v>
      </c>
      <c r="G927">
        <v>0.34140727360989198</v>
      </c>
      <c r="H927">
        <v>3274</v>
      </c>
      <c r="I927">
        <v>11646</v>
      </c>
      <c r="J927">
        <v>1</v>
      </c>
      <c r="K927" t="s">
        <v>51</v>
      </c>
      <c r="L927" s="1">
        <v>44907</v>
      </c>
      <c r="M927" t="s">
        <v>75</v>
      </c>
      <c r="N927" t="s">
        <v>63</v>
      </c>
      <c r="O927">
        <v>2508.4290000000001</v>
      </c>
      <c r="P927">
        <v>228.03899999999999</v>
      </c>
      <c r="Q927">
        <v>0.7</v>
      </c>
    </row>
    <row r="928" spans="1:17">
      <c r="A928" t="s">
        <v>17</v>
      </c>
      <c r="B928" t="s">
        <v>34</v>
      </c>
      <c r="C928" t="s">
        <v>40</v>
      </c>
      <c r="D928" t="s">
        <v>20</v>
      </c>
      <c r="E928">
        <v>0.14000000000000001</v>
      </c>
      <c r="F928">
        <v>10865.92</v>
      </c>
      <c r="G928">
        <v>3.67</v>
      </c>
      <c r="H928">
        <v>28710</v>
      </c>
      <c r="I928">
        <v>86559</v>
      </c>
      <c r="J928">
        <v>1</v>
      </c>
      <c r="K928" t="s">
        <v>53</v>
      </c>
      <c r="L928" s="1">
        <v>44777</v>
      </c>
      <c r="M928" t="s">
        <v>58</v>
      </c>
      <c r="N928" t="s">
        <v>32</v>
      </c>
      <c r="O928">
        <v>11952.512000000001</v>
      </c>
      <c r="P928">
        <v>1086.5920000000001</v>
      </c>
      <c r="Q928">
        <v>0.38</v>
      </c>
    </row>
    <row r="929" spans="1:17">
      <c r="A929" t="s">
        <v>17</v>
      </c>
      <c r="B929" t="s">
        <v>25</v>
      </c>
      <c r="C929" t="s">
        <v>19</v>
      </c>
      <c r="D929" t="s">
        <v>20</v>
      </c>
      <c r="E929">
        <v>0.06</v>
      </c>
      <c r="F929">
        <v>1704.09</v>
      </c>
      <c r="G929">
        <v>7.13</v>
      </c>
      <c r="H929">
        <v>4230</v>
      </c>
      <c r="I929">
        <v>14048</v>
      </c>
      <c r="J929">
        <v>10</v>
      </c>
      <c r="K929" t="s">
        <v>21</v>
      </c>
      <c r="L929" s="1">
        <v>44808</v>
      </c>
      <c r="M929" t="s">
        <v>80</v>
      </c>
      <c r="N929" t="s">
        <v>65</v>
      </c>
      <c r="O929">
        <v>1874.499</v>
      </c>
      <c r="P929">
        <v>170.40899999999999</v>
      </c>
      <c r="Q929">
        <v>0.4</v>
      </c>
    </row>
    <row r="930" spans="1:17">
      <c r="A930" t="s">
        <v>17</v>
      </c>
      <c r="B930" t="s">
        <v>18</v>
      </c>
      <c r="C930" t="s">
        <v>19</v>
      </c>
      <c r="D930" t="s">
        <v>20</v>
      </c>
      <c r="E930">
        <v>0.06</v>
      </c>
      <c r="F930">
        <v>533.29999999999995</v>
      </c>
      <c r="G930">
        <v>2.2999999999999998</v>
      </c>
      <c r="H930">
        <v>2131</v>
      </c>
      <c r="I930">
        <v>7832</v>
      </c>
      <c r="J930">
        <v>8</v>
      </c>
      <c r="K930" t="s">
        <v>46</v>
      </c>
      <c r="L930" s="1">
        <v>44921</v>
      </c>
      <c r="M930" t="s">
        <v>87</v>
      </c>
      <c r="N930" t="s">
        <v>63</v>
      </c>
      <c r="O930">
        <v>586.63</v>
      </c>
      <c r="P930">
        <v>53.33</v>
      </c>
      <c r="Q930">
        <v>0.25</v>
      </c>
    </row>
    <row r="931" spans="1:17">
      <c r="A931" t="s">
        <v>28</v>
      </c>
      <c r="B931" t="s">
        <v>29</v>
      </c>
      <c r="C931" t="s">
        <v>19</v>
      </c>
      <c r="D931" t="s">
        <v>50</v>
      </c>
      <c r="E931">
        <v>0.09</v>
      </c>
      <c r="F931">
        <v>500</v>
      </c>
      <c r="G931">
        <v>4.67</v>
      </c>
      <c r="H931">
        <v>1928</v>
      </c>
      <c r="I931">
        <v>7230</v>
      </c>
      <c r="J931">
        <v>2</v>
      </c>
      <c r="K931" t="s">
        <v>21</v>
      </c>
      <c r="L931" s="1">
        <v>44884</v>
      </c>
      <c r="M931" t="s">
        <v>31</v>
      </c>
      <c r="N931" t="s">
        <v>41</v>
      </c>
      <c r="O931">
        <v>550</v>
      </c>
      <c r="P931">
        <v>50</v>
      </c>
      <c r="Q931">
        <v>0.26</v>
      </c>
    </row>
    <row r="932" spans="1:17">
      <c r="A932" t="s">
        <v>67</v>
      </c>
      <c r="B932" t="s">
        <v>34</v>
      </c>
      <c r="C932" t="s">
        <v>19</v>
      </c>
      <c r="D932" t="s">
        <v>20</v>
      </c>
      <c r="E932">
        <v>0.04</v>
      </c>
      <c r="F932">
        <v>515.98</v>
      </c>
      <c r="G932">
        <v>1.44</v>
      </c>
      <c r="H932">
        <v>2107</v>
      </c>
      <c r="I932">
        <v>7761</v>
      </c>
      <c r="J932">
        <v>3</v>
      </c>
      <c r="K932" t="s">
        <v>21</v>
      </c>
      <c r="L932" s="1">
        <v>44753</v>
      </c>
      <c r="M932" t="s">
        <v>61</v>
      </c>
      <c r="N932" t="s">
        <v>23</v>
      </c>
      <c r="O932">
        <v>567.57799999999997</v>
      </c>
      <c r="P932">
        <v>51.597999999999999</v>
      </c>
      <c r="Q932">
        <v>0.24</v>
      </c>
    </row>
    <row r="933" spans="1:17">
      <c r="A933" t="s">
        <v>33</v>
      </c>
      <c r="B933" t="s">
        <v>18</v>
      </c>
      <c r="C933" t="s">
        <v>40</v>
      </c>
      <c r="D933" t="s">
        <v>42</v>
      </c>
      <c r="E933">
        <v>0.14000000000000001</v>
      </c>
      <c r="F933">
        <v>10673.67</v>
      </c>
      <c r="G933">
        <v>1.31557986061194</v>
      </c>
      <c r="H933">
        <v>16557</v>
      </c>
      <c r="I933">
        <v>54895</v>
      </c>
      <c r="J933">
        <v>1</v>
      </c>
      <c r="K933" t="s">
        <v>46</v>
      </c>
      <c r="L933" s="1">
        <v>44721</v>
      </c>
      <c r="M933" t="s">
        <v>98</v>
      </c>
      <c r="N933" t="s">
        <v>69</v>
      </c>
      <c r="O933">
        <v>11741.037</v>
      </c>
      <c r="P933">
        <v>1067.367</v>
      </c>
      <c r="Q933">
        <v>0.64</v>
      </c>
    </row>
    <row r="934" spans="1:17">
      <c r="A934" t="s">
        <v>67</v>
      </c>
      <c r="B934" t="s">
        <v>29</v>
      </c>
      <c r="C934" t="s">
        <v>35</v>
      </c>
      <c r="D934" t="s">
        <v>42</v>
      </c>
      <c r="E934">
        <v>0.15</v>
      </c>
      <c r="F934">
        <v>13231.46</v>
      </c>
      <c r="G934">
        <v>0.45223057708535402</v>
      </c>
      <c r="H934">
        <v>20525</v>
      </c>
      <c r="I934">
        <v>67813</v>
      </c>
      <c r="J934">
        <v>1</v>
      </c>
      <c r="K934" t="s">
        <v>37</v>
      </c>
      <c r="L934" s="1">
        <v>44614</v>
      </c>
      <c r="M934" t="s">
        <v>90</v>
      </c>
      <c r="N934" t="s">
        <v>60</v>
      </c>
      <c r="O934">
        <v>14554.606</v>
      </c>
      <c r="P934">
        <v>1323.146</v>
      </c>
      <c r="Q934">
        <v>0.64</v>
      </c>
    </row>
    <row r="935" spans="1:17">
      <c r="A935" t="s">
        <v>28</v>
      </c>
      <c r="B935" t="s">
        <v>29</v>
      </c>
      <c r="C935" t="s">
        <v>40</v>
      </c>
      <c r="D935" t="s">
        <v>36</v>
      </c>
      <c r="E935">
        <v>0.09</v>
      </c>
      <c r="F935">
        <v>8596.4</v>
      </c>
      <c r="G935">
        <v>1.42</v>
      </c>
      <c r="H935">
        <v>22551</v>
      </c>
      <c r="I935">
        <v>68317</v>
      </c>
      <c r="J935">
        <v>1</v>
      </c>
      <c r="K935" t="s">
        <v>37</v>
      </c>
      <c r="L935" s="1">
        <v>44639</v>
      </c>
      <c r="M935" t="s">
        <v>99</v>
      </c>
      <c r="N935" t="s">
        <v>81</v>
      </c>
      <c r="O935">
        <v>9456.0400000000009</v>
      </c>
      <c r="P935">
        <v>859.64000000000101</v>
      </c>
      <c r="Q935">
        <v>0.38</v>
      </c>
    </row>
    <row r="936" spans="1:17">
      <c r="A936" t="s">
        <v>24</v>
      </c>
      <c r="B936" t="s">
        <v>25</v>
      </c>
      <c r="C936" t="s">
        <v>30</v>
      </c>
      <c r="D936" t="s">
        <v>50</v>
      </c>
      <c r="E936">
        <v>0.04</v>
      </c>
      <c r="F936">
        <v>5104.7700000000004</v>
      </c>
      <c r="G936">
        <v>2.88</v>
      </c>
      <c r="H936">
        <v>13061</v>
      </c>
      <c r="I936">
        <v>40206</v>
      </c>
      <c r="J936">
        <v>6</v>
      </c>
      <c r="K936" t="s">
        <v>51</v>
      </c>
      <c r="L936" s="1">
        <v>44896</v>
      </c>
      <c r="M936" t="s">
        <v>92</v>
      </c>
      <c r="N936" t="s">
        <v>63</v>
      </c>
      <c r="O936">
        <v>5615.2470000000003</v>
      </c>
      <c r="P936">
        <v>510.47699999999998</v>
      </c>
      <c r="Q936">
        <v>0.39</v>
      </c>
    </row>
    <row r="937" spans="1:17">
      <c r="A937" t="s">
        <v>49</v>
      </c>
      <c r="B937" t="s">
        <v>29</v>
      </c>
      <c r="C937" t="s">
        <v>19</v>
      </c>
      <c r="D937" t="s">
        <v>20</v>
      </c>
      <c r="E937">
        <v>0.09</v>
      </c>
      <c r="F937">
        <v>2287.3000000000002</v>
      </c>
      <c r="G937">
        <v>5.16</v>
      </c>
      <c r="H937">
        <v>5593</v>
      </c>
      <c r="I937">
        <v>18086</v>
      </c>
      <c r="J937">
        <v>6</v>
      </c>
      <c r="K937" t="s">
        <v>37</v>
      </c>
      <c r="L937" s="1">
        <v>44630</v>
      </c>
      <c r="M937" t="s">
        <v>100</v>
      </c>
      <c r="N937" t="s">
        <v>81</v>
      </c>
      <c r="O937">
        <v>2516.0300000000002</v>
      </c>
      <c r="P937">
        <v>228.73</v>
      </c>
      <c r="Q937">
        <v>0.41</v>
      </c>
    </row>
    <row r="938" spans="1:17">
      <c r="A938" t="s">
        <v>49</v>
      </c>
      <c r="B938" t="s">
        <v>34</v>
      </c>
      <c r="C938" t="s">
        <v>40</v>
      </c>
      <c r="D938" t="s">
        <v>50</v>
      </c>
      <c r="E938">
        <v>0.1</v>
      </c>
      <c r="F938">
        <v>9752.89</v>
      </c>
      <c r="G938">
        <v>4.46</v>
      </c>
      <c r="H938">
        <v>25685</v>
      </c>
      <c r="I938">
        <v>77599</v>
      </c>
      <c r="J938">
        <v>1</v>
      </c>
      <c r="K938" t="s">
        <v>51</v>
      </c>
      <c r="L938" s="1">
        <v>44848</v>
      </c>
      <c r="M938" t="s">
        <v>101</v>
      </c>
      <c r="N938" t="s">
        <v>57</v>
      </c>
      <c r="O938">
        <v>10728.179</v>
      </c>
      <c r="P938">
        <v>975.28899999999999</v>
      </c>
      <c r="Q938">
        <v>0.38</v>
      </c>
    </row>
    <row r="939" spans="1:17">
      <c r="A939" t="s">
        <v>67</v>
      </c>
      <c r="B939" t="s">
        <v>25</v>
      </c>
      <c r="C939" t="s">
        <v>19</v>
      </c>
      <c r="D939" t="s">
        <v>20</v>
      </c>
      <c r="E939">
        <v>0.06</v>
      </c>
      <c r="F939">
        <v>1154.67</v>
      </c>
      <c r="G939">
        <v>0.02</v>
      </c>
      <c r="H939">
        <v>3142</v>
      </c>
      <c r="I939">
        <v>10828</v>
      </c>
      <c r="J939">
        <v>10</v>
      </c>
      <c r="K939" t="s">
        <v>21</v>
      </c>
      <c r="L939" s="1">
        <v>44630</v>
      </c>
      <c r="M939" t="s">
        <v>31</v>
      </c>
      <c r="N939" t="s">
        <v>81</v>
      </c>
      <c r="O939">
        <v>1270.1369999999999</v>
      </c>
      <c r="P939">
        <v>115.467</v>
      </c>
      <c r="Q939">
        <v>0.37</v>
      </c>
    </row>
    <row r="940" spans="1:17">
      <c r="A940" t="s">
        <v>49</v>
      </c>
      <c r="B940" t="s">
        <v>34</v>
      </c>
      <c r="C940" t="s">
        <v>40</v>
      </c>
      <c r="D940" t="s">
        <v>36</v>
      </c>
      <c r="E940">
        <v>0.11</v>
      </c>
      <c r="F940">
        <v>8179.88</v>
      </c>
      <c r="G940">
        <v>6.18</v>
      </c>
      <c r="H940">
        <v>21409</v>
      </c>
      <c r="I940">
        <v>64935</v>
      </c>
      <c r="J940">
        <v>1</v>
      </c>
      <c r="K940" t="s">
        <v>46</v>
      </c>
      <c r="L940" s="1">
        <v>44658</v>
      </c>
      <c r="M940" t="s">
        <v>95</v>
      </c>
      <c r="N940" t="s">
        <v>73</v>
      </c>
      <c r="O940">
        <v>8997.8680000000004</v>
      </c>
      <c r="P940">
        <v>817.98800000000006</v>
      </c>
      <c r="Q940">
        <v>0.38</v>
      </c>
    </row>
    <row r="941" spans="1:17">
      <c r="A941" t="s">
        <v>67</v>
      </c>
      <c r="B941" t="s">
        <v>34</v>
      </c>
      <c r="C941" t="s">
        <v>35</v>
      </c>
      <c r="D941" t="s">
        <v>20</v>
      </c>
      <c r="E941">
        <v>0.14000000000000001</v>
      </c>
      <c r="F941">
        <v>12449.21</v>
      </c>
      <c r="G941">
        <v>2.64</v>
      </c>
      <c r="H941">
        <v>32955</v>
      </c>
      <c r="I941">
        <v>99132</v>
      </c>
      <c r="J941">
        <v>3</v>
      </c>
      <c r="K941" t="s">
        <v>51</v>
      </c>
      <c r="L941" s="1">
        <v>44702</v>
      </c>
      <c r="M941" t="s">
        <v>62</v>
      </c>
      <c r="N941" t="s">
        <v>44</v>
      </c>
      <c r="O941">
        <v>13694.130999999999</v>
      </c>
      <c r="P941">
        <v>1244.921</v>
      </c>
      <c r="Q941">
        <v>0.38</v>
      </c>
    </row>
    <row r="942" spans="1:17">
      <c r="A942" t="s">
        <v>49</v>
      </c>
      <c r="B942" t="s">
        <v>34</v>
      </c>
      <c r="C942" t="s">
        <v>40</v>
      </c>
      <c r="D942" t="s">
        <v>20</v>
      </c>
      <c r="E942">
        <v>0.13</v>
      </c>
      <c r="F942">
        <v>7896.08</v>
      </c>
      <c r="G942">
        <v>5.12</v>
      </c>
      <c r="H942">
        <v>20626</v>
      </c>
      <c r="I942">
        <v>62615</v>
      </c>
      <c r="J942">
        <v>3</v>
      </c>
      <c r="K942" t="s">
        <v>37</v>
      </c>
      <c r="L942" s="1">
        <v>44795</v>
      </c>
      <c r="M942" t="s">
        <v>74</v>
      </c>
      <c r="N942" t="s">
        <v>32</v>
      </c>
      <c r="O942">
        <v>8685.6880000000001</v>
      </c>
      <c r="P942">
        <v>789.60799999999995</v>
      </c>
      <c r="Q942">
        <v>0.38</v>
      </c>
    </row>
    <row r="943" spans="1:17">
      <c r="A943" t="s">
        <v>33</v>
      </c>
      <c r="B943" t="s">
        <v>18</v>
      </c>
      <c r="C943" t="s">
        <v>30</v>
      </c>
      <c r="D943" t="s">
        <v>42</v>
      </c>
      <c r="E943">
        <v>0.14000000000000001</v>
      </c>
      <c r="F943">
        <v>7148.57</v>
      </c>
      <c r="G943">
        <v>0.65957740294267098</v>
      </c>
      <c r="H943">
        <v>10924</v>
      </c>
      <c r="I943">
        <v>36551</v>
      </c>
      <c r="J943">
        <v>1</v>
      </c>
      <c r="K943" t="s">
        <v>46</v>
      </c>
      <c r="L943" s="1">
        <v>44744</v>
      </c>
      <c r="M943" t="s">
        <v>93</v>
      </c>
      <c r="N943" t="s">
        <v>23</v>
      </c>
      <c r="O943">
        <v>7863.4269999999997</v>
      </c>
      <c r="P943">
        <v>714.85699999999997</v>
      </c>
      <c r="Q943">
        <v>0.65</v>
      </c>
    </row>
    <row r="944" spans="1:17">
      <c r="A944" t="s">
        <v>49</v>
      </c>
      <c r="B944" t="s">
        <v>25</v>
      </c>
      <c r="C944" t="s">
        <v>19</v>
      </c>
      <c r="D944" t="s">
        <v>36</v>
      </c>
      <c r="E944">
        <v>0.05</v>
      </c>
      <c r="F944">
        <v>500</v>
      </c>
      <c r="G944">
        <v>1.45</v>
      </c>
      <c r="H944">
        <v>602</v>
      </c>
      <c r="I944">
        <v>3303</v>
      </c>
      <c r="J944">
        <v>10</v>
      </c>
      <c r="K944" t="s">
        <v>37</v>
      </c>
      <c r="L944" s="1">
        <v>44606</v>
      </c>
      <c r="M944" t="s">
        <v>94</v>
      </c>
      <c r="N944" t="s">
        <v>60</v>
      </c>
      <c r="O944">
        <v>550</v>
      </c>
      <c r="P944">
        <v>50</v>
      </c>
      <c r="Q944">
        <v>0.83</v>
      </c>
    </row>
    <row r="945" spans="1:17">
      <c r="A945" t="s">
        <v>45</v>
      </c>
      <c r="B945" t="s">
        <v>25</v>
      </c>
      <c r="C945" t="s">
        <v>35</v>
      </c>
      <c r="D945" t="s">
        <v>50</v>
      </c>
      <c r="E945">
        <v>0.03</v>
      </c>
      <c r="F945">
        <v>11520.36</v>
      </c>
      <c r="G945">
        <v>6.26</v>
      </c>
      <c r="H945">
        <v>30497</v>
      </c>
      <c r="I945">
        <v>91853</v>
      </c>
      <c r="J945">
        <v>7</v>
      </c>
      <c r="K945" t="s">
        <v>46</v>
      </c>
      <c r="L945" s="1">
        <v>44828</v>
      </c>
      <c r="M945" t="s">
        <v>47</v>
      </c>
      <c r="N945" t="s">
        <v>65</v>
      </c>
      <c r="O945">
        <v>12672.396000000001</v>
      </c>
      <c r="P945">
        <v>1152.0360000000001</v>
      </c>
      <c r="Q945">
        <v>0.38</v>
      </c>
    </row>
    <row r="946" spans="1:17">
      <c r="A946" t="s">
        <v>45</v>
      </c>
      <c r="B946" t="s">
        <v>18</v>
      </c>
      <c r="C946" t="s">
        <v>40</v>
      </c>
      <c r="D946" t="s">
        <v>20</v>
      </c>
      <c r="E946">
        <v>0.06</v>
      </c>
      <c r="F946">
        <v>7759.42</v>
      </c>
      <c r="G946">
        <v>6.9</v>
      </c>
      <c r="H946">
        <v>20261</v>
      </c>
      <c r="I946">
        <v>61535</v>
      </c>
      <c r="J946">
        <v>8</v>
      </c>
      <c r="K946" t="s">
        <v>37</v>
      </c>
      <c r="L946" s="1">
        <v>44680</v>
      </c>
      <c r="M946" t="s">
        <v>64</v>
      </c>
      <c r="N946" t="s">
        <v>73</v>
      </c>
      <c r="O946">
        <v>8535.3619999999992</v>
      </c>
      <c r="P946">
        <v>775.94200000000001</v>
      </c>
      <c r="Q946">
        <v>0.38</v>
      </c>
    </row>
    <row r="947" spans="1:17">
      <c r="A947" t="s">
        <v>49</v>
      </c>
      <c r="B947" t="s">
        <v>25</v>
      </c>
      <c r="C947" t="s">
        <v>40</v>
      </c>
      <c r="D947" t="s">
        <v>50</v>
      </c>
      <c r="E947">
        <v>0.09</v>
      </c>
      <c r="F947">
        <v>7832.68</v>
      </c>
      <c r="G947">
        <v>3.82</v>
      </c>
      <c r="H947">
        <v>20455</v>
      </c>
      <c r="I947">
        <v>62110</v>
      </c>
      <c r="J947">
        <v>6</v>
      </c>
      <c r="K947" t="s">
        <v>21</v>
      </c>
      <c r="L947" s="1">
        <v>44870</v>
      </c>
      <c r="M947" t="s">
        <v>71</v>
      </c>
      <c r="N947" t="s">
        <v>41</v>
      </c>
      <c r="O947">
        <v>8615.9480000000003</v>
      </c>
      <c r="P947">
        <v>783.26800000000003</v>
      </c>
      <c r="Q947">
        <v>0.38</v>
      </c>
    </row>
    <row r="948" spans="1:17">
      <c r="A948" t="s">
        <v>67</v>
      </c>
      <c r="B948" t="s">
        <v>18</v>
      </c>
      <c r="C948" t="s">
        <v>19</v>
      </c>
      <c r="D948" t="s">
        <v>36</v>
      </c>
      <c r="E948">
        <v>0.14000000000000001</v>
      </c>
      <c r="F948">
        <v>1193.49</v>
      </c>
      <c r="G948">
        <v>4.53</v>
      </c>
      <c r="H948">
        <v>3213</v>
      </c>
      <c r="I948">
        <v>11038</v>
      </c>
      <c r="J948">
        <v>5</v>
      </c>
      <c r="K948" t="s">
        <v>51</v>
      </c>
      <c r="L948" s="1">
        <v>44580</v>
      </c>
      <c r="M948" t="s">
        <v>52</v>
      </c>
      <c r="N948" t="s">
        <v>27</v>
      </c>
      <c r="O948">
        <v>1312.8389999999999</v>
      </c>
      <c r="P948">
        <v>119.349</v>
      </c>
      <c r="Q948">
        <v>0.37</v>
      </c>
    </row>
    <row r="949" spans="1:17">
      <c r="A949" t="s">
        <v>45</v>
      </c>
      <c r="B949" t="s">
        <v>34</v>
      </c>
      <c r="C949" t="s">
        <v>40</v>
      </c>
      <c r="D949" t="s">
        <v>20</v>
      </c>
      <c r="E949">
        <v>0.14000000000000001</v>
      </c>
      <c r="F949">
        <v>8399.9500000000007</v>
      </c>
      <c r="G949">
        <v>4.74</v>
      </c>
      <c r="H949">
        <v>22013</v>
      </c>
      <c r="I949">
        <v>66723</v>
      </c>
      <c r="J949">
        <v>3</v>
      </c>
      <c r="K949" t="s">
        <v>51</v>
      </c>
      <c r="L949" s="1">
        <v>44838</v>
      </c>
      <c r="M949" t="s">
        <v>85</v>
      </c>
      <c r="N949" t="s">
        <v>57</v>
      </c>
      <c r="O949">
        <v>9239.9449999999997</v>
      </c>
      <c r="P949">
        <v>839.995</v>
      </c>
      <c r="Q949">
        <v>0.38</v>
      </c>
    </row>
    <row r="950" spans="1:17">
      <c r="A950" t="s">
        <v>45</v>
      </c>
      <c r="B950" t="s">
        <v>34</v>
      </c>
      <c r="C950" t="s">
        <v>35</v>
      </c>
      <c r="D950" t="s">
        <v>36</v>
      </c>
      <c r="E950">
        <v>7.0000000000000007E-2</v>
      </c>
      <c r="F950">
        <v>12203.67</v>
      </c>
      <c r="G950">
        <v>7.57</v>
      </c>
      <c r="H950">
        <v>32311</v>
      </c>
      <c r="I950">
        <v>97226</v>
      </c>
      <c r="J950">
        <v>3</v>
      </c>
      <c r="K950" t="s">
        <v>46</v>
      </c>
      <c r="L950" s="1">
        <v>44783</v>
      </c>
      <c r="M950" t="s">
        <v>98</v>
      </c>
      <c r="N950" t="s">
        <v>32</v>
      </c>
      <c r="O950">
        <v>13424.037</v>
      </c>
      <c r="P950">
        <v>1220.367</v>
      </c>
      <c r="Q950">
        <v>0.38</v>
      </c>
    </row>
    <row r="951" spans="1:17">
      <c r="A951" t="s">
        <v>45</v>
      </c>
      <c r="B951" t="s">
        <v>34</v>
      </c>
      <c r="C951" t="s">
        <v>30</v>
      </c>
      <c r="D951" t="s">
        <v>50</v>
      </c>
      <c r="E951">
        <v>0.15</v>
      </c>
      <c r="F951">
        <v>4698.3999999999996</v>
      </c>
      <c r="G951">
        <v>5.9</v>
      </c>
      <c r="H951">
        <v>11953</v>
      </c>
      <c r="I951">
        <v>36925</v>
      </c>
      <c r="J951">
        <v>10</v>
      </c>
      <c r="K951" t="s">
        <v>46</v>
      </c>
      <c r="L951" s="1">
        <v>44612</v>
      </c>
      <c r="M951" t="s">
        <v>86</v>
      </c>
      <c r="N951" t="s">
        <v>60</v>
      </c>
      <c r="O951">
        <v>5168.24</v>
      </c>
      <c r="P951">
        <v>469.84</v>
      </c>
      <c r="Q951">
        <v>0.39</v>
      </c>
    </row>
    <row r="952" spans="1:17">
      <c r="A952" t="s">
        <v>24</v>
      </c>
      <c r="B952" t="s">
        <v>29</v>
      </c>
      <c r="C952" t="s">
        <v>35</v>
      </c>
      <c r="D952" t="s">
        <v>42</v>
      </c>
      <c r="E952">
        <v>0.02</v>
      </c>
      <c r="F952">
        <v>12228.92</v>
      </c>
      <c r="G952">
        <v>0.689964437766588</v>
      </c>
      <c r="H952">
        <v>19017</v>
      </c>
      <c r="I952">
        <v>62903</v>
      </c>
      <c r="J952">
        <v>1</v>
      </c>
      <c r="K952" t="s">
        <v>37</v>
      </c>
      <c r="L952" s="1">
        <v>44616</v>
      </c>
      <c r="M952" t="s">
        <v>74</v>
      </c>
      <c r="N952" t="s">
        <v>60</v>
      </c>
      <c r="O952">
        <v>13451.812</v>
      </c>
      <c r="P952">
        <v>1222.8920000000001</v>
      </c>
      <c r="Q952">
        <v>0.64</v>
      </c>
    </row>
    <row r="953" spans="1:17">
      <c r="A953" t="s">
        <v>55</v>
      </c>
      <c r="B953" t="s">
        <v>29</v>
      </c>
      <c r="C953" t="s">
        <v>40</v>
      </c>
      <c r="D953" t="s">
        <v>42</v>
      </c>
      <c r="E953">
        <v>0.09</v>
      </c>
      <c r="F953">
        <v>10455.870000000001</v>
      </c>
      <c r="G953">
        <v>1.1100205073913201</v>
      </c>
      <c r="H953">
        <v>16206</v>
      </c>
      <c r="I953">
        <v>53751</v>
      </c>
      <c r="J953">
        <v>1</v>
      </c>
      <c r="K953" t="s">
        <v>51</v>
      </c>
      <c r="L953" s="1">
        <v>44786</v>
      </c>
      <c r="M953" t="s">
        <v>52</v>
      </c>
      <c r="N953" t="s">
        <v>32</v>
      </c>
      <c r="O953">
        <v>11501.457</v>
      </c>
      <c r="P953">
        <v>1045.587</v>
      </c>
      <c r="Q953">
        <v>0.65</v>
      </c>
    </row>
    <row r="954" spans="1:17">
      <c r="A954" t="s">
        <v>55</v>
      </c>
      <c r="B954" t="s">
        <v>25</v>
      </c>
      <c r="C954" t="s">
        <v>30</v>
      </c>
      <c r="D954" t="s">
        <v>36</v>
      </c>
      <c r="E954">
        <v>7.0000000000000007E-2</v>
      </c>
      <c r="F954">
        <v>4559.88</v>
      </c>
      <c r="G954">
        <v>0.94</v>
      </c>
      <c r="H954">
        <v>11572</v>
      </c>
      <c r="I954">
        <v>35797</v>
      </c>
      <c r="J954">
        <v>4</v>
      </c>
      <c r="K954" t="s">
        <v>37</v>
      </c>
      <c r="L954" s="1">
        <v>44813</v>
      </c>
      <c r="M954" t="s">
        <v>91</v>
      </c>
      <c r="N954" t="s">
        <v>65</v>
      </c>
      <c r="O954">
        <v>5015.8680000000004</v>
      </c>
      <c r="P954">
        <v>455.988</v>
      </c>
      <c r="Q954">
        <v>0.39</v>
      </c>
    </row>
    <row r="955" spans="1:17">
      <c r="A955" t="s">
        <v>33</v>
      </c>
      <c r="B955" t="s">
        <v>34</v>
      </c>
      <c r="C955" t="s">
        <v>40</v>
      </c>
      <c r="D955" t="s">
        <v>50</v>
      </c>
      <c r="E955">
        <v>0.15</v>
      </c>
      <c r="F955">
        <v>8998.7800000000007</v>
      </c>
      <c r="G955">
        <v>6.37</v>
      </c>
      <c r="H955">
        <v>23624</v>
      </c>
      <c r="I955">
        <v>71495</v>
      </c>
      <c r="J955">
        <v>4</v>
      </c>
      <c r="K955" t="s">
        <v>21</v>
      </c>
      <c r="L955" s="1">
        <v>44749</v>
      </c>
      <c r="M955" t="s">
        <v>26</v>
      </c>
      <c r="N955" t="s">
        <v>23</v>
      </c>
      <c r="O955">
        <v>9898.6579999999994</v>
      </c>
      <c r="P955">
        <v>899.87800000000004</v>
      </c>
      <c r="Q955">
        <v>0.38</v>
      </c>
    </row>
    <row r="956" spans="1:17">
      <c r="A956" t="s">
        <v>45</v>
      </c>
      <c r="B956" t="s">
        <v>25</v>
      </c>
      <c r="C956" t="s">
        <v>19</v>
      </c>
      <c r="D956" t="s">
        <v>50</v>
      </c>
      <c r="E956">
        <v>0.14000000000000001</v>
      </c>
      <c r="F956">
        <v>2383.5500000000002</v>
      </c>
      <c r="G956">
        <v>3.62</v>
      </c>
      <c r="H956">
        <v>5827</v>
      </c>
      <c r="I956">
        <v>18779</v>
      </c>
      <c r="J956">
        <v>1</v>
      </c>
      <c r="K956" t="s">
        <v>46</v>
      </c>
      <c r="L956" s="1">
        <v>44644</v>
      </c>
      <c r="M956" t="s">
        <v>95</v>
      </c>
      <c r="N956" t="s">
        <v>81</v>
      </c>
      <c r="O956">
        <v>2621.9050000000002</v>
      </c>
      <c r="P956">
        <v>238.35499999999999</v>
      </c>
      <c r="Q956">
        <v>0.41</v>
      </c>
    </row>
    <row r="957" spans="1:17">
      <c r="A957" t="s">
        <v>39</v>
      </c>
      <c r="B957" t="s">
        <v>18</v>
      </c>
      <c r="C957" t="s">
        <v>35</v>
      </c>
      <c r="D957" t="s">
        <v>36</v>
      </c>
      <c r="E957">
        <v>0.09</v>
      </c>
      <c r="F957">
        <v>14003.58</v>
      </c>
      <c r="G957">
        <v>4.21</v>
      </c>
      <c r="H957">
        <v>36676</v>
      </c>
      <c r="I957">
        <v>110155</v>
      </c>
      <c r="J957">
        <v>6</v>
      </c>
      <c r="K957" t="s">
        <v>37</v>
      </c>
      <c r="L957" s="1">
        <v>44891</v>
      </c>
      <c r="M957" t="s">
        <v>56</v>
      </c>
      <c r="N957" t="s">
        <v>41</v>
      </c>
      <c r="O957">
        <v>15403.938</v>
      </c>
      <c r="P957">
        <v>1400.3579999999999</v>
      </c>
      <c r="Q957">
        <v>0.38</v>
      </c>
    </row>
    <row r="958" spans="1:17">
      <c r="A958" t="s">
        <v>49</v>
      </c>
      <c r="B958" t="s">
        <v>18</v>
      </c>
      <c r="C958" t="s">
        <v>35</v>
      </c>
      <c r="D958" t="s">
        <v>50</v>
      </c>
      <c r="E958">
        <v>0.04</v>
      </c>
      <c r="F958">
        <v>14007.14</v>
      </c>
      <c r="G958">
        <v>0.32</v>
      </c>
      <c r="H958">
        <v>36683</v>
      </c>
      <c r="I958">
        <v>110176</v>
      </c>
      <c r="J958">
        <v>1</v>
      </c>
      <c r="K958" t="s">
        <v>53</v>
      </c>
      <c r="L958" s="1">
        <v>44838</v>
      </c>
      <c r="M958" t="s">
        <v>104</v>
      </c>
      <c r="N958" t="s">
        <v>57</v>
      </c>
      <c r="O958">
        <v>15407.853999999999</v>
      </c>
      <c r="P958">
        <v>1400.7139999999999</v>
      </c>
      <c r="Q958">
        <v>0.38</v>
      </c>
    </row>
    <row r="959" spans="1:17">
      <c r="A959" t="s">
        <v>67</v>
      </c>
      <c r="B959" t="s">
        <v>25</v>
      </c>
      <c r="C959" t="s">
        <v>40</v>
      </c>
      <c r="D959" t="s">
        <v>20</v>
      </c>
      <c r="E959">
        <v>0.1</v>
      </c>
      <c r="F959">
        <v>8342.35</v>
      </c>
      <c r="G959">
        <v>3.04</v>
      </c>
      <c r="H959">
        <v>21855</v>
      </c>
      <c r="I959">
        <v>66254</v>
      </c>
      <c r="J959">
        <v>1</v>
      </c>
      <c r="K959" t="s">
        <v>53</v>
      </c>
      <c r="L959" s="1">
        <v>44905</v>
      </c>
      <c r="M959" t="s">
        <v>54</v>
      </c>
      <c r="N959" t="s">
        <v>63</v>
      </c>
      <c r="O959">
        <v>9176.5849999999991</v>
      </c>
      <c r="P959">
        <v>834.23500000000001</v>
      </c>
      <c r="Q959">
        <v>0.38</v>
      </c>
    </row>
    <row r="960" spans="1:17">
      <c r="A960" t="s">
        <v>24</v>
      </c>
      <c r="B960" t="s">
        <v>18</v>
      </c>
      <c r="C960" t="s">
        <v>40</v>
      </c>
      <c r="D960" t="s">
        <v>20</v>
      </c>
      <c r="E960">
        <v>0.03</v>
      </c>
      <c r="F960">
        <v>11371.01</v>
      </c>
      <c r="G960">
        <v>2.0499999999999998</v>
      </c>
      <c r="H960">
        <v>30087</v>
      </c>
      <c r="I960">
        <v>90639</v>
      </c>
      <c r="J960">
        <v>3</v>
      </c>
      <c r="K960" t="s">
        <v>37</v>
      </c>
      <c r="L960" s="1">
        <v>44625</v>
      </c>
      <c r="M960" t="s">
        <v>94</v>
      </c>
      <c r="N960" t="s">
        <v>81</v>
      </c>
      <c r="O960">
        <v>12508.111000000001</v>
      </c>
      <c r="P960">
        <v>1137.1010000000001</v>
      </c>
      <c r="Q960">
        <v>0.38</v>
      </c>
    </row>
    <row r="961" spans="1:17">
      <c r="A961" t="s">
        <v>28</v>
      </c>
      <c r="B961" t="s">
        <v>34</v>
      </c>
      <c r="C961" t="s">
        <v>30</v>
      </c>
      <c r="D961" t="s">
        <v>50</v>
      </c>
      <c r="E961">
        <v>0.04</v>
      </c>
      <c r="F961">
        <v>6444.74</v>
      </c>
      <c r="G961">
        <v>4.03</v>
      </c>
      <c r="H961">
        <v>16694</v>
      </c>
      <c r="I961">
        <v>50968</v>
      </c>
      <c r="J961">
        <v>5</v>
      </c>
      <c r="K961" t="s">
        <v>21</v>
      </c>
      <c r="L961" s="1">
        <v>44754</v>
      </c>
      <c r="M961" t="s">
        <v>61</v>
      </c>
      <c r="N961" t="s">
        <v>23</v>
      </c>
      <c r="O961">
        <v>7089.2139999999999</v>
      </c>
      <c r="P961">
        <v>644.47400000000005</v>
      </c>
      <c r="Q961">
        <v>0.39</v>
      </c>
    </row>
    <row r="962" spans="1:17">
      <c r="A962" t="s">
        <v>28</v>
      </c>
      <c r="B962" t="s">
        <v>25</v>
      </c>
      <c r="C962" t="s">
        <v>40</v>
      </c>
      <c r="D962" t="s">
        <v>42</v>
      </c>
      <c r="E962">
        <v>0.05</v>
      </c>
      <c r="F962">
        <v>10596.75</v>
      </c>
      <c r="G962">
        <v>0.200196935310512</v>
      </c>
      <c r="H962">
        <v>16430</v>
      </c>
      <c r="I962">
        <v>54481</v>
      </c>
      <c r="J962">
        <v>1</v>
      </c>
      <c r="K962" t="s">
        <v>46</v>
      </c>
      <c r="L962" s="1">
        <v>44727</v>
      </c>
      <c r="M962" t="s">
        <v>93</v>
      </c>
      <c r="N962" t="s">
        <v>69</v>
      </c>
      <c r="O962">
        <v>11656.424999999999</v>
      </c>
      <c r="P962">
        <v>1059.675</v>
      </c>
      <c r="Q962">
        <v>0.64</v>
      </c>
    </row>
    <row r="963" spans="1:17">
      <c r="A963" t="s">
        <v>49</v>
      </c>
      <c r="B963" t="s">
        <v>34</v>
      </c>
      <c r="C963" t="s">
        <v>19</v>
      </c>
      <c r="D963" t="s">
        <v>50</v>
      </c>
      <c r="E963">
        <v>0.13</v>
      </c>
      <c r="F963">
        <v>1274.8800000000001</v>
      </c>
      <c r="G963">
        <v>1.04</v>
      </c>
      <c r="H963">
        <v>3362</v>
      </c>
      <c r="I963">
        <v>11478</v>
      </c>
      <c r="J963">
        <v>9</v>
      </c>
      <c r="K963" t="s">
        <v>53</v>
      </c>
      <c r="L963" s="1">
        <v>44832</v>
      </c>
      <c r="M963" t="s">
        <v>104</v>
      </c>
      <c r="N963" t="s">
        <v>65</v>
      </c>
      <c r="O963">
        <v>1402.3679999999999</v>
      </c>
      <c r="P963">
        <v>127.488</v>
      </c>
      <c r="Q963">
        <v>0.38</v>
      </c>
    </row>
    <row r="964" spans="1:17">
      <c r="A964" t="s">
        <v>33</v>
      </c>
      <c r="B964" t="s">
        <v>18</v>
      </c>
      <c r="C964" t="s">
        <v>40</v>
      </c>
      <c r="D964" t="s">
        <v>50</v>
      </c>
      <c r="E964">
        <v>0.1</v>
      </c>
      <c r="F964">
        <v>8532.5</v>
      </c>
      <c r="G964">
        <v>1.1299999999999999</v>
      </c>
      <c r="H964">
        <v>22377</v>
      </c>
      <c r="I964">
        <v>67801</v>
      </c>
      <c r="J964">
        <v>10</v>
      </c>
      <c r="K964" t="s">
        <v>21</v>
      </c>
      <c r="L964" s="1">
        <v>44710</v>
      </c>
      <c r="M964" t="s">
        <v>26</v>
      </c>
      <c r="N964" t="s">
        <v>44</v>
      </c>
      <c r="O964">
        <v>9385.75</v>
      </c>
      <c r="P964">
        <v>853.25</v>
      </c>
      <c r="Q964">
        <v>0.38</v>
      </c>
    </row>
    <row r="965" spans="1:17">
      <c r="A965" t="s">
        <v>33</v>
      </c>
      <c r="B965" t="s">
        <v>25</v>
      </c>
      <c r="C965" t="s">
        <v>40</v>
      </c>
      <c r="D965" t="s">
        <v>36</v>
      </c>
      <c r="E965">
        <v>0.08</v>
      </c>
      <c r="F965">
        <v>9634.9699999999993</v>
      </c>
      <c r="G965">
        <v>7.5</v>
      </c>
      <c r="H965">
        <v>25357</v>
      </c>
      <c r="I965">
        <v>76629</v>
      </c>
      <c r="J965">
        <v>10</v>
      </c>
      <c r="K965" t="s">
        <v>46</v>
      </c>
      <c r="L965" s="1">
        <v>44611</v>
      </c>
      <c r="M965" t="s">
        <v>95</v>
      </c>
      <c r="N965" t="s">
        <v>60</v>
      </c>
      <c r="O965">
        <v>10598.467000000001</v>
      </c>
      <c r="P965">
        <v>963.49700000000098</v>
      </c>
      <c r="Q965">
        <v>0.38</v>
      </c>
    </row>
    <row r="966" spans="1:17">
      <c r="A966" t="s">
        <v>55</v>
      </c>
      <c r="B966" t="s">
        <v>29</v>
      </c>
      <c r="C966" t="s">
        <v>19</v>
      </c>
      <c r="D966" t="s">
        <v>42</v>
      </c>
      <c r="E966">
        <v>0.08</v>
      </c>
      <c r="F966">
        <v>3379.35</v>
      </c>
      <c r="G966">
        <v>0.48976750245607498</v>
      </c>
      <c r="H966">
        <v>4916</v>
      </c>
      <c r="I966">
        <v>16991</v>
      </c>
      <c r="J966">
        <v>1</v>
      </c>
      <c r="K966" t="s">
        <v>21</v>
      </c>
      <c r="L966" s="1">
        <v>44665</v>
      </c>
      <c r="M966" t="s">
        <v>31</v>
      </c>
      <c r="N966" t="s">
        <v>73</v>
      </c>
      <c r="O966">
        <v>3717.2849999999999</v>
      </c>
      <c r="P966">
        <v>337.935</v>
      </c>
      <c r="Q966">
        <v>0.69</v>
      </c>
    </row>
    <row r="967" spans="1:17">
      <c r="A967" t="s">
        <v>39</v>
      </c>
      <c r="B967" t="s">
        <v>29</v>
      </c>
      <c r="C967" t="s">
        <v>19</v>
      </c>
      <c r="D967" t="s">
        <v>20</v>
      </c>
      <c r="E967">
        <v>0.12</v>
      </c>
      <c r="F967">
        <v>2494.7800000000002</v>
      </c>
      <c r="G967">
        <v>0.74</v>
      </c>
      <c r="H967">
        <v>6097</v>
      </c>
      <c r="I967">
        <v>19580</v>
      </c>
      <c r="J967">
        <v>3</v>
      </c>
      <c r="K967" t="s">
        <v>53</v>
      </c>
      <c r="L967" s="1">
        <v>44655</v>
      </c>
      <c r="M967" t="s">
        <v>102</v>
      </c>
      <c r="N967" t="s">
        <v>73</v>
      </c>
      <c r="O967">
        <v>2744.2579999999998</v>
      </c>
      <c r="P967">
        <v>249.47800000000001</v>
      </c>
      <c r="Q967">
        <v>0.41</v>
      </c>
    </row>
    <row r="968" spans="1:17">
      <c r="A968" t="s">
        <v>49</v>
      </c>
      <c r="B968" t="s">
        <v>18</v>
      </c>
      <c r="C968" t="s">
        <v>35</v>
      </c>
      <c r="D968" t="s">
        <v>42</v>
      </c>
      <c r="E968">
        <v>0.12</v>
      </c>
      <c r="F968">
        <v>14605.2</v>
      </c>
      <c r="G968">
        <v>0.14657275620948201</v>
      </c>
      <c r="H968">
        <v>22209</v>
      </c>
      <c r="I968">
        <v>73298</v>
      </c>
      <c r="J968">
        <v>1</v>
      </c>
      <c r="K968" t="s">
        <v>51</v>
      </c>
      <c r="L968" s="1">
        <v>44893</v>
      </c>
      <c r="M968" t="s">
        <v>79</v>
      </c>
      <c r="N968" t="s">
        <v>41</v>
      </c>
      <c r="O968">
        <v>16065.72</v>
      </c>
      <c r="P968">
        <v>1460.52</v>
      </c>
      <c r="Q968">
        <v>0.66</v>
      </c>
    </row>
    <row r="969" spans="1:17">
      <c r="A969" t="s">
        <v>33</v>
      </c>
      <c r="B969" t="s">
        <v>34</v>
      </c>
      <c r="C969" t="s">
        <v>35</v>
      </c>
      <c r="D969" t="s">
        <v>36</v>
      </c>
      <c r="E969">
        <v>0.02</v>
      </c>
      <c r="F969">
        <v>12010.36</v>
      </c>
      <c r="G969">
        <v>2.35</v>
      </c>
      <c r="H969">
        <v>31794</v>
      </c>
      <c r="I969">
        <v>95696</v>
      </c>
      <c r="J969">
        <v>2</v>
      </c>
      <c r="K969" t="s">
        <v>46</v>
      </c>
      <c r="L969" s="1">
        <v>44902</v>
      </c>
      <c r="M969" t="s">
        <v>96</v>
      </c>
      <c r="N969" t="s">
        <v>63</v>
      </c>
      <c r="O969">
        <v>13211.396000000001</v>
      </c>
      <c r="P969">
        <v>1201.0360000000001</v>
      </c>
      <c r="Q969">
        <v>0.38</v>
      </c>
    </row>
    <row r="970" spans="1:17">
      <c r="A970" t="s">
        <v>67</v>
      </c>
      <c r="B970" t="s">
        <v>29</v>
      </c>
      <c r="C970" t="s">
        <v>40</v>
      </c>
      <c r="D970" t="s">
        <v>50</v>
      </c>
      <c r="E970">
        <v>0.06</v>
      </c>
      <c r="F970">
        <v>9103.07</v>
      </c>
      <c r="G970">
        <v>6.59</v>
      </c>
      <c r="H970">
        <v>23897</v>
      </c>
      <c r="I970">
        <v>72304</v>
      </c>
      <c r="J970">
        <v>6</v>
      </c>
      <c r="K970" t="s">
        <v>53</v>
      </c>
      <c r="L970" s="1">
        <v>44637</v>
      </c>
      <c r="M970" t="s">
        <v>104</v>
      </c>
      <c r="N970" t="s">
        <v>81</v>
      </c>
      <c r="O970">
        <v>10013.377</v>
      </c>
      <c r="P970">
        <v>910.30700000000002</v>
      </c>
      <c r="Q970">
        <v>0.38</v>
      </c>
    </row>
    <row r="971" spans="1:17">
      <c r="A971" t="s">
        <v>39</v>
      </c>
      <c r="B971" t="s">
        <v>18</v>
      </c>
      <c r="C971" t="s">
        <v>35</v>
      </c>
      <c r="D971" t="s">
        <v>42</v>
      </c>
      <c r="E971">
        <v>0.04</v>
      </c>
      <c r="F971">
        <v>13417.81</v>
      </c>
      <c r="G971">
        <v>0.39503145271092199</v>
      </c>
      <c r="H971">
        <v>20783</v>
      </c>
      <c r="I971">
        <v>68656</v>
      </c>
      <c r="J971">
        <v>1</v>
      </c>
      <c r="K971" t="s">
        <v>37</v>
      </c>
      <c r="L971" s="1">
        <v>44696</v>
      </c>
      <c r="M971" t="s">
        <v>64</v>
      </c>
      <c r="N971" t="s">
        <v>44</v>
      </c>
      <c r="O971">
        <v>14759.591</v>
      </c>
      <c r="P971">
        <v>1341.7809999999999</v>
      </c>
      <c r="Q971">
        <v>0.65</v>
      </c>
    </row>
    <row r="972" spans="1:17">
      <c r="A972" t="s">
        <v>49</v>
      </c>
      <c r="B972" t="s">
        <v>29</v>
      </c>
      <c r="C972" t="s">
        <v>19</v>
      </c>
      <c r="D972" t="s">
        <v>42</v>
      </c>
      <c r="E972">
        <v>0.02</v>
      </c>
      <c r="F972">
        <v>500</v>
      </c>
      <c r="G972">
        <v>0.32710749251628402</v>
      </c>
      <c r="H972">
        <v>576</v>
      </c>
      <c r="I972">
        <v>2859</v>
      </c>
      <c r="J972">
        <v>1</v>
      </c>
      <c r="K972" t="s">
        <v>46</v>
      </c>
      <c r="L972" s="1">
        <v>44679</v>
      </c>
      <c r="M972" t="s">
        <v>88</v>
      </c>
      <c r="N972" t="s">
        <v>73</v>
      </c>
      <c r="O972">
        <v>550</v>
      </c>
      <c r="P972">
        <v>50</v>
      </c>
      <c r="Q972">
        <v>0.87</v>
      </c>
    </row>
    <row r="973" spans="1:17">
      <c r="A973" t="s">
        <v>67</v>
      </c>
      <c r="B973" t="s">
        <v>29</v>
      </c>
      <c r="C973" t="s">
        <v>40</v>
      </c>
      <c r="D973" t="s">
        <v>20</v>
      </c>
      <c r="E973">
        <v>0.12</v>
      </c>
      <c r="F973">
        <v>10791.92</v>
      </c>
      <c r="G973">
        <v>3.02</v>
      </c>
      <c r="H973">
        <v>28507</v>
      </c>
      <c r="I973">
        <v>85959</v>
      </c>
      <c r="J973">
        <v>9</v>
      </c>
      <c r="K973" t="s">
        <v>46</v>
      </c>
      <c r="L973" s="1">
        <v>44614</v>
      </c>
      <c r="M973" t="s">
        <v>88</v>
      </c>
      <c r="N973" t="s">
        <v>60</v>
      </c>
      <c r="O973">
        <v>11871.111999999999</v>
      </c>
      <c r="P973">
        <v>1079.192</v>
      </c>
      <c r="Q973">
        <v>0.38</v>
      </c>
    </row>
    <row r="974" spans="1:17">
      <c r="A974" t="s">
        <v>28</v>
      </c>
      <c r="B974" t="s">
        <v>25</v>
      </c>
      <c r="C974" t="s">
        <v>19</v>
      </c>
      <c r="D974" t="s">
        <v>42</v>
      </c>
      <c r="E974">
        <v>0.01</v>
      </c>
      <c r="F974">
        <v>1336.67</v>
      </c>
      <c r="G974">
        <v>0.227009024861027</v>
      </c>
      <c r="H974">
        <v>2045</v>
      </c>
      <c r="I974">
        <v>7643</v>
      </c>
      <c r="J974">
        <v>1</v>
      </c>
      <c r="K974" t="s">
        <v>53</v>
      </c>
      <c r="L974" s="1">
        <v>44581</v>
      </c>
      <c r="M974" t="s">
        <v>54</v>
      </c>
      <c r="N974" t="s">
        <v>27</v>
      </c>
      <c r="O974">
        <v>1470.337</v>
      </c>
      <c r="P974">
        <v>133.667</v>
      </c>
      <c r="Q974">
        <v>0.65</v>
      </c>
    </row>
    <row r="975" spans="1:17">
      <c r="A975" t="s">
        <v>49</v>
      </c>
      <c r="B975" t="s">
        <v>25</v>
      </c>
      <c r="C975" t="s">
        <v>30</v>
      </c>
      <c r="D975" t="s">
        <v>36</v>
      </c>
      <c r="E975">
        <v>0.03</v>
      </c>
      <c r="F975">
        <v>5179.79</v>
      </c>
      <c r="G975">
        <v>3.7</v>
      </c>
      <c r="H975">
        <v>13273</v>
      </c>
      <c r="I975">
        <v>40834</v>
      </c>
      <c r="J975">
        <v>6</v>
      </c>
      <c r="K975" t="s">
        <v>21</v>
      </c>
      <c r="L975" s="1">
        <v>44883</v>
      </c>
      <c r="M975" t="s">
        <v>22</v>
      </c>
      <c r="N975" t="s">
        <v>41</v>
      </c>
      <c r="O975">
        <v>5697.7690000000002</v>
      </c>
      <c r="P975">
        <v>517.97900000000004</v>
      </c>
      <c r="Q975">
        <v>0.39</v>
      </c>
    </row>
    <row r="976" spans="1:17">
      <c r="A976" t="s">
        <v>39</v>
      </c>
      <c r="B976" t="s">
        <v>29</v>
      </c>
      <c r="C976" t="s">
        <v>19</v>
      </c>
      <c r="D976" t="s">
        <v>20</v>
      </c>
      <c r="E976">
        <v>0.03</v>
      </c>
      <c r="F976">
        <v>2716.91</v>
      </c>
      <c r="G976">
        <v>3.03</v>
      </c>
      <c r="H976">
        <v>6648</v>
      </c>
      <c r="I976">
        <v>21212</v>
      </c>
      <c r="J976">
        <v>6</v>
      </c>
      <c r="K976" t="s">
        <v>21</v>
      </c>
      <c r="L976" s="1">
        <v>44636</v>
      </c>
      <c r="M976" t="s">
        <v>31</v>
      </c>
      <c r="N976" t="s">
        <v>81</v>
      </c>
      <c r="O976">
        <v>2988.6010000000001</v>
      </c>
      <c r="P976">
        <v>271.69099999999997</v>
      </c>
      <c r="Q976">
        <v>0.41</v>
      </c>
    </row>
    <row r="977" spans="1:17">
      <c r="A977" t="s">
        <v>24</v>
      </c>
      <c r="B977" t="s">
        <v>18</v>
      </c>
      <c r="C977" t="s">
        <v>30</v>
      </c>
      <c r="D977" t="s">
        <v>50</v>
      </c>
      <c r="E977">
        <v>0.1</v>
      </c>
      <c r="F977">
        <v>4145.26</v>
      </c>
      <c r="G977">
        <v>2.63</v>
      </c>
      <c r="H977">
        <v>10439</v>
      </c>
      <c r="I977">
        <v>32439</v>
      </c>
      <c r="J977">
        <v>1</v>
      </c>
      <c r="K977" t="s">
        <v>37</v>
      </c>
      <c r="L977" s="1">
        <v>44916</v>
      </c>
      <c r="M977" t="s">
        <v>90</v>
      </c>
      <c r="N977" t="s">
        <v>63</v>
      </c>
      <c r="O977">
        <v>4559.7860000000001</v>
      </c>
      <c r="P977">
        <v>414.52600000000001</v>
      </c>
      <c r="Q977">
        <v>0.4</v>
      </c>
    </row>
    <row r="978" spans="1:17">
      <c r="A978" t="s">
        <v>28</v>
      </c>
      <c r="B978" t="s">
        <v>18</v>
      </c>
      <c r="C978" t="s">
        <v>35</v>
      </c>
      <c r="D978" t="s">
        <v>42</v>
      </c>
      <c r="E978">
        <v>0.04</v>
      </c>
      <c r="F978">
        <v>12149.78</v>
      </c>
      <c r="G978">
        <v>0.68638949249318604</v>
      </c>
      <c r="H978">
        <v>18890</v>
      </c>
      <c r="I978">
        <v>62489</v>
      </c>
      <c r="J978">
        <v>1</v>
      </c>
      <c r="K978" t="s">
        <v>21</v>
      </c>
      <c r="L978" s="1">
        <v>44594</v>
      </c>
      <c r="M978" t="s">
        <v>26</v>
      </c>
      <c r="N978" t="s">
        <v>60</v>
      </c>
      <c r="O978">
        <v>13364.758</v>
      </c>
      <c r="P978">
        <v>1214.9780000000001</v>
      </c>
      <c r="Q978">
        <v>0.64</v>
      </c>
    </row>
    <row r="979" spans="1:17">
      <c r="A979" t="s">
        <v>24</v>
      </c>
      <c r="B979" t="s">
        <v>29</v>
      </c>
      <c r="C979" t="s">
        <v>19</v>
      </c>
      <c r="D979" t="s">
        <v>20</v>
      </c>
      <c r="E979">
        <v>0.13</v>
      </c>
      <c r="F979">
        <v>2454.9299999999998</v>
      </c>
      <c r="G979">
        <v>7.64</v>
      </c>
      <c r="H979">
        <v>5998</v>
      </c>
      <c r="I979">
        <v>19285</v>
      </c>
      <c r="J979">
        <v>4</v>
      </c>
      <c r="K979" t="s">
        <v>53</v>
      </c>
      <c r="L979" s="1">
        <v>44599</v>
      </c>
      <c r="M979" t="s">
        <v>82</v>
      </c>
      <c r="N979" t="s">
        <v>60</v>
      </c>
      <c r="O979">
        <v>2700.4229999999998</v>
      </c>
      <c r="P979">
        <v>245.49299999999999</v>
      </c>
      <c r="Q979">
        <v>0.41</v>
      </c>
    </row>
    <row r="980" spans="1:17">
      <c r="A980" t="s">
        <v>45</v>
      </c>
      <c r="B980" t="s">
        <v>29</v>
      </c>
      <c r="C980" t="s">
        <v>30</v>
      </c>
      <c r="D980" t="s">
        <v>20</v>
      </c>
      <c r="E980">
        <v>0.02</v>
      </c>
      <c r="F980">
        <v>6130.19</v>
      </c>
      <c r="G980">
        <v>2.67</v>
      </c>
      <c r="H980">
        <v>15847</v>
      </c>
      <c r="I980">
        <v>48459</v>
      </c>
      <c r="J980">
        <v>3</v>
      </c>
      <c r="K980" t="s">
        <v>21</v>
      </c>
      <c r="L980" s="1">
        <v>44630</v>
      </c>
      <c r="M980" t="s">
        <v>80</v>
      </c>
      <c r="N980" t="s">
        <v>81</v>
      </c>
      <c r="O980">
        <v>6743.2089999999998</v>
      </c>
      <c r="P980">
        <v>613.01900000000001</v>
      </c>
      <c r="Q980">
        <v>0.39</v>
      </c>
    </row>
    <row r="981" spans="1:17">
      <c r="A981" t="s">
        <v>55</v>
      </c>
      <c r="B981" t="s">
        <v>34</v>
      </c>
      <c r="C981" t="s">
        <v>40</v>
      </c>
      <c r="D981" t="s">
        <v>50</v>
      </c>
      <c r="E981">
        <v>0.1</v>
      </c>
      <c r="F981">
        <v>10140.94</v>
      </c>
      <c r="G981">
        <v>1.52</v>
      </c>
      <c r="H981">
        <v>26742</v>
      </c>
      <c r="I981">
        <v>80730</v>
      </c>
      <c r="J981">
        <v>8</v>
      </c>
      <c r="K981" t="s">
        <v>46</v>
      </c>
      <c r="L981" s="1">
        <v>44786</v>
      </c>
      <c r="M981" t="s">
        <v>98</v>
      </c>
      <c r="N981" t="s">
        <v>32</v>
      </c>
      <c r="O981">
        <v>11155.034</v>
      </c>
      <c r="P981">
        <v>1014.0940000000001</v>
      </c>
      <c r="Q981">
        <v>0.38</v>
      </c>
    </row>
    <row r="982" spans="1:17">
      <c r="A982" t="s">
        <v>45</v>
      </c>
      <c r="B982" t="s">
        <v>34</v>
      </c>
      <c r="C982" t="s">
        <v>19</v>
      </c>
      <c r="D982" t="s">
        <v>36</v>
      </c>
      <c r="E982">
        <v>7.0000000000000007E-2</v>
      </c>
      <c r="F982">
        <v>1640.18</v>
      </c>
      <c r="G982">
        <v>7.32</v>
      </c>
      <c r="H982">
        <v>4093</v>
      </c>
      <c r="I982">
        <v>13644</v>
      </c>
      <c r="J982">
        <v>5</v>
      </c>
      <c r="K982" t="s">
        <v>46</v>
      </c>
      <c r="L982" s="1">
        <v>44815</v>
      </c>
      <c r="M982" t="s">
        <v>70</v>
      </c>
      <c r="N982" t="s">
        <v>65</v>
      </c>
      <c r="O982">
        <v>1804.1980000000001</v>
      </c>
      <c r="P982">
        <v>164.018</v>
      </c>
      <c r="Q982">
        <v>0.4</v>
      </c>
    </row>
    <row r="983" spans="1:17">
      <c r="A983" t="s">
        <v>67</v>
      </c>
      <c r="B983" t="s">
        <v>29</v>
      </c>
      <c r="C983" t="s">
        <v>40</v>
      </c>
      <c r="D983" t="s">
        <v>36</v>
      </c>
      <c r="E983">
        <v>0.08</v>
      </c>
      <c r="F983">
        <v>7792.74</v>
      </c>
      <c r="G983">
        <v>0.76</v>
      </c>
      <c r="H983">
        <v>20350</v>
      </c>
      <c r="I983">
        <v>61798</v>
      </c>
      <c r="J983">
        <v>10</v>
      </c>
      <c r="K983" t="s">
        <v>46</v>
      </c>
      <c r="L983" s="1">
        <v>44596</v>
      </c>
      <c r="M983" t="s">
        <v>93</v>
      </c>
      <c r="N983" t="s">
        <v>60</v>
      </c>
      <c r="O983">
        <v>8572.0139999999992</v>
      </c>
      <c r="P983">
        <v>779.27400000000102</v>
      </c>
      <c r="Q983">
        <v>0.38</v>
      </c>
    </row>
    <row r="984" spans="1:17">
      <c r="A984" t="s">
        <v>39</v>
      </c>
      <c r="B984" t="s">
        <v>18</v>
      </c>
      <c r="C984" t="s">
        <v>19</v>
      </c>
      <c r="D984" t="s">
        <v>50</v>
      </c>
      <c r="E984">
        <v>0.06</v>
      </c>
      <c r="F984">
        <v>3332.48</v>
      </c>
      <c r="G984">
        <v>1.26</v>
      </c>
      <c r="H984">
        <v>8247</v>
      </c>
      <c r="I984">
        <v>25948</v>
      </c>
      <c r="J984">
        <v>10</v>
      </c>
      <c r="K984" t="s">
        <v>37</v>
      </c>
      <c r="L984" s="1">
        <v>44797</v>
      </c>
      <c r="M984" t="s">
        <v>38</v>
      </c>
      <c r="N984" t="s">
        <v>32</v>
      </c>
      <c r="O984">
        <v>3665.7280000000001</v>
      </c>
      <c r="P984">
        <v>333.24799999999999</v>
      </c>
      <c r="Q984">
        <v>0.4</v>
      </c>
    </row>
    <row r="985" spans="1:17">
      <c r="A985" t="s">
        <v>45</v>
      </c>
      <c r="B985" t="s">
        <v>29</v>
      </c>
      <c r="C985" t="s">
        <v>35</v>
      </c>
      <c r="D985" t="s">
        <v>42</v>
      </c>
      <c r="E985">
        <v>0.12</v>
      </c>
      <c r="F985">
        <v>12876.99</v>
      </c>
      <c r="G985">
        <v>9.6523522381854299E-2</v>
      </c>
      <c r="H985">
        <v>20010</v>
      </c>
      <c r="I985">
        <v>66136</v>
      </c>
      <c r="J985">
        <v>1</v>
      </c>
      <c r="K985" t="s">
        <v>53</v>
      </c>
      <c r="L985" s="1">
        <v>44726</v>
      </c>
      <c r="M985" t="s">
        <v>58</v>
      </c>
      <c r="N985" t="s">
        <v>69</v>
      </c>
      <c r="O985">
        <v>14164.689</v>
      </c>
      <c r="P985">
        <v>1287.6990000000001</v>
      </c>
      <c r="Q985">
        <v>0.64</v>
      </c>
    </row>
    <row r="986" spans="1:17">
      <c r="A986" t="s">
        <v>45</v>
      </c>
      <c r="B986" t="s">
        <v>34</v>
      </c>
      <c r="C986" t="s">
        <v>30</v>
      </c>
      <c r="D986" t="s">
        <v>36</v>
      </c>
      <c r="E986">
        <v>0.06</v>
      </c>
      <c r="F986">
        <v>7215.38</v>
      </c>
      <c r="G986">
        <v>5.5</v>
      </c>
      <c r="H986">
        <v>18785</v>
      </c>
      <c r="I986">
        <v>57161</v>
      </c>
      <c r="J986">
        <v>7</v>
      </c>
      <c r="K986" t="s">
        <v>21</v>
      </c>
      <c r="L986" s="1">
        <v>44831</v>
      </c>
      <c r="M986" t="s">
        <v>26</v>
      </c>
      <c r="N986" t="s">
        <v>65</v>
      </c>
      <c r="O986">
        <v>7936.9179999999997</v>
      </c>
      <c r="P986">
        <v>721.53800000000001</v>
      </c>
      <c r="Q986">
        <v>0.38</v>
      </c>
    </row>
    <row r="987" spans="1:17">
      <c r="A987" t="s">
        <v>39</v>
      </c>
      <c r="B987" t="s">
        <v>29</v>
      </c>
      <c r="C987" t="s">
        <v>30</v>
      </c>
      <c r="D987" t="s">
        <v>20</v>
      </c>
      <c r="E987">
        <v>0.05</v>
      </c>
      <c r="F987">
        <v>7056.74</v>
      </c>
      <c r="G987">
        <v>3.24</v>
      </c>
      <c r="H987">
        <v>18349</v>
      </c>
      <c r="I987">
        <v>55870</v>
      </c>
      <c r="J987">
        <v>5</v>
      </c>
      <c r="K987" t="s">
        <v>46</v>
      </c>
      <c r="L987" s="1">
        <v>44742</v>
      </c>
      <c r="M987" t="s">
        <v>96</v>
      </c>
      <c r="N987" t="s">
        <v>69</v>
      </c>
      <c r="O987">
        <v>7762.4139999999998</v>
      </c>
      <c r="P987">
        <v>705.67399999999998</v>
      </c>
      <c r="Q987">
        <v>0.38</v>
      </c>
    </row>
    <row r="988" spans="1:17">
      <c r="A988" t="s">
        <v>49</v>
      </c>
      <c r="B988" t="s">
        <v>34</v>
      </c>
      <c r="C988" t="s">
        <v>35</v>
      </c>
      <c r="D988" t="s">
        <v>36</v>
      </c>
      <c r="E988">
        <v>0.04</v>
      </c>
      <c r="F988">
        <v>13100.76</v>
      </c>
      <c r="G988">
        <v>4.05</v>
      </c>
      <c r="H988">
        <v>34626</v>
      </c>
      <c r="I988">
        <v>104084</v>
      </c>
      <c r="J988">
        <v>4</v>
      </c>
      <c r="K988" t="s">
        <v>21</v>
      </c>
      <c r="L988" s="1">
        <v>44726</v>
      </c>
      <c r="M988" t="s">
        <v>43</v>
      </c>
      <c r="N988" t="s">
        <v>69</v>
      </c>
      <c r="O988">
        <v>14410.835999999999</v>
      </c>
      <c r="P988">
        <v>1310.076</v>
      </c>
      <c r="Q988">
        <v>0.38</v>
      </c>
    </row>
    <row r="989" spans="1:17">
      <c r="A989" t="s">
        <v>39</v>
      </c>
      <c r="B989" t="s">
        <v>29</v>
      </c>
      <c r="C989" t="s">
        <v>30</v>
      </c>
      <c r="D989" t="s">
        <v>36</v>
      </c>
      <c r="E989">
        <v>7.0000000000000007E-2</v>
      </c>
      <c r="F989">
        <v>7443.08</v>
      </c>
      <c r="G989">
        <v>6.72</v>
      </c>
      <c r="H989">
        <v>19386</v>
      </c>
      <c r="I989">
        <v>58942</v>
      </c>
      <c r="J989">
        <v>6</v>
      </c>
      <c r="K989" t="s">
        <v>53</v>
      </c>
      <c r="L989" s="1">
        <v>44692</v>
      </c>
      <c r="M989" t="s">
        <v>82</v>
      </c>
      <c r="N989" t="s">
        <v>44</v>
      </c>
      <c r="O989">
        <v>8187.3879999999999</v>
      </c>
      <c r="P989">
        <v>744.30799999999999</v>
      </c>
      <c r="Q989">
        <v>0.38</v>
      </c>
    </row>
    <row r="990" spans="1:17">
      <c r="A990" t="s">
        <v>28</v>
      </c>
      <c r="B990" t="s">
        <v>18</v>
      </c>
      <c r="C990" t="s">
        <v>30</v>
      </c>
      <c r="D990" t="s">
        <v>50</v>
      </c>
      <c r="E990">
        <v>0.11</v>
      </c>
      <c r="F990">
        <v>5352.56</v>
      </c>
      <c r="G990">
        <v>5.04</v>
      </c>
      <c r="H990">
        <v>13731</v>
      </c>
      <c r="I990">
        <v>42192</v>
      </c>
      <c r="J990">
        <v>5</v>
      </c>
      <c r="K990" t="s">
        <v>51</v>
      </c>
      <c r="L990" s="1">
        <v>44591</v>
      </c>
      <c r="M990" t="s">
        <v>85</v>
      </c>
      <c r="N990" t="s">
        <v>27</v>
      </c>
      <c r="O990">
        <v>5887.8159999999998</v>
      </c>
      <c r="P990">
        <v>535.25599999999997</v>
      </c>
      <c r="Q990">
        <v>0.39</v>
      </c>
    </row>
    <row r="991" spans="1:17">
      <c r="A991" t="s">
        <v>49</v>
      </c>
      <c r="B991" t="s">
        <v>18</v>
      </c>
      <c r="C991" t="s">
        <v>35</v>
      </c>
      <c r="D991" t="s">
        <v>36</v>
      </c>
      <c r="E991">
        <v>0.12</v>
      </c>
      <c r="F991">
        <v>14459.62</v>
      </c>
      <c r="G991">
        <v>7.72</v>
      </c>
      <c r="H991">
        <v>37565</v>
      </c>
      <c r="I991">
        <v>112790</v>
      </c>
      <c r="J991">
        <v>6</v>
      </c>
      <c r="K991" t="s">
        <v>21</v>
      </c>
      <c r="L991" s="1">
        <v>44590</v>
      </c>
      <c r="M991" t="s">
        <v>26</v>
      </c>
      <c r="N991" t="s">
        <v>27</v>
      </c>
      <c r="O991">
        <v>15905.582</v>
      </c>
      <c r="P991">
        <v>1445.962</v>
      </c>
      <c r="Q991">
        <v>0.38</v>
      </c>
    </row>
    <row r="992" spans="1:17">
      <c r="A992" t="s">
        <v>67</v>
      </c>
      <c r="B992" t="s">
        <v>18</v>
      </c>
      <c r="C992" t="s">
        <v>40</v>
      </c>
      <c r="D992" t="s">
        <v>50</v>
      </c>
      <c r="E992">
        <v>0.04</v>
      </c>
      <c r="F992">
        <v>8553.99</v>
      </c>
      <c r="G992">
        <v>4.7</v>
      </c>
      <c r="H992">
        <v>22434</v>
      </c>
      <c r="I992">
        <v>67971</v>
      </c>
      <c r="J992">
        <v>1</v>
      </c>
      <c r="K992" t="s">
        <v>37</v>
      </c>
      <c r="L992" s="1">
        <v>44830</v>
      </c>
      <c r="M992" t="s">
        <v>74</v>
      </c>
      <c r="N992" t="s">
        <v>65</v>
      </c>
      <c r="O992">
        <v>9409.3889999999992</v>
      </c>
      <c r="P992">
        <v>855.39900000000102</v>
      </c>
      <c r="Q992">
        <v>0.38</v>
      </c>
    </row>
    <row r="993" spans="1:17">
      <c r="A993" t="s">
        <v>33</v>
      </c>
      <c r="B993" t="s">
        <v>18</v>
      </c>
      <c r="C993" t="s">
        <v>35</v>
      </c>
      <c r="D993" t="s">
        <v>36</v>
      </c>
      <c r="E993">
        <v>0.13</v>
      </c>
      <c r="F993">
        <v>12398.45</v>
      </c>
      <c r="G993">
        <v>2.84</v>
      </c>
      <c r="H993">
        <v>32821</v>
      </c>
      <c r="I993">
        <v>98736</v>
      </c>
      <c r="J993">
        <v>3</v>
      </c>
      <c r="K993" t="s">
        <v>21</v>
      </c>
      <c r="L993" s="1">
        <v>44842</v>
      </c>
      <c r="M993" t="s">
        <v>61</v>
      </c>
      <c r="N993" t="s">
        <v>57</v>
      </c>
      <c r="O993">
        <v>13638.295</v>
      </c>
      <c r="P993">
        <v>1239.845</v>
      </c>
      <c r="Q993">
        <v>0.38</v>
      </c>
    </row>
    <row r="994" spans="1:17">
      <c r="A994" t="s">
        <v>49</v>
      </c>
      <c r="B994" t="s">
        <v>18</v>
      </c>
      <c r="C994" t="s">
        <v>19</v>
      </c>
      <c r="D994" t="s">
        <v>36</v>
      </c>
      <c r="E994">
        <v>0.02</v>
      </c>
      <c r="F994">
        <v>3560.19</v>
      </c>
      <c r="G994">
        <v>6.54</v>
      </c>
      <c r="H994">
        <v>8847</v>
      </c>
      <c r="I994">
        <v>27726</v>
      </c>
      <c r="J994">
        <v>7</v>
      </c>
      <c r="K994" t="s">
        <v>46</v>
      </c>
      <c r="L994" s="1">
        <v>44564</v>
      </c>
      <c r="M994" t="s">
        <v>47</v>
      </c>
      <c r="N994" t="s">
        <v>27</v>
      </c>
      <c r="O994">
        <v>3916.2089999999998</v>
      </c>
      <c r="P994">
        <v>356.01900000000001</v>
      </c>
      <c r="Q994">
        <v>0.4</v>
      </c>
    </row>
    <row r="995" spans="1:17">
      <c r="A995" t="s">
        <v>33</v>
      </c>
      <c r="B995" t="s">
        <v>34</v>
      </c>
      <c r="C995" t="s">
        <v>35</v>
      </c>
      <c r="D995" t="s">
        <v>20</v>
      </c>
      <c r="E995">
        <v>0.04</v>
      </c>
      <c r="F995">
        <v>11724.69</v>
      </c>
      <c r="G995">
        <v>3.29</v>
      </c>
      <c r="H995">
        <v>31043</v>
      </c>
      <c r="I995">
        <v>93470</v>
      </c>
      <c r="J995">
        <v>1</v>
      </c>
      <c r="K995" t="s">
        <v>46</v>
      </c>
      <c r="L995" s="1">
        <v>44848</v>
      </c>
      <c r="M995" t="s">
        <v>47</v>
      </c>
      <c r="N995" t="s">
        <v>57</v>
      </c>
      <c r="O995">
        <v>12897.159</v>
      </c>
      <c r="P995">
        <v>1172.4690000000001</v>
      </c>
      <c r="Q995">
        <v>0.38</v>
      </c>
    </row>
    <row r="996" spans="1:17">
      <c r="A996" t="s">
        <v>17</v>
      </c>
      <c r="B996" t="s">
        <v>29</v>
      </c>
      <c r="C996" t="s">
        <v>40</v>
      </c>
      <c r="D996" t="s">
        <v>42</v>
      </c>
      <c r="E996">
        <v>0.03</v>
      </c>
      <c r="F996">
        <v>11189.03</v>
      </c>
      <c r="G996">
        <v>0.31817012933277899</v>
      </c>
      <c r="H996">
        <v>17380</v>
      </c>
      <c r="I996">
        <v>57573</v>
      </c>
      <c r="J996">
        <v>1</v>
      </c>
      <c r="K996" t="s">
        <v>46</v>
      </c>
      <c r="L996" s="1">
        <v>44632</v>
      </c>
      <c r="M996" t="s">
        <v>88</v>
      </c>
      <c r="N996" t="s">
        <v>81</v>
      </c>
      <c r="O996">
        <v>12307.933000000001</v>
      </c>
      <c r="P996">
        <v>1118.903</v>
      </c>
      <c r="Q996">
        <v>0.64</v>
      </c>
    </row>
    <row r="997" spans="1:17">
      <c r="A997" t="s">
        <v>45</v>
      </c>
      <c r="B997" t="s">
        <v>29</v>
      </c>
      <c r="C997" t="s">
        <v>30</v>
      </c>
      <c r="D997" t="s">
        <v>42</v>
      </c>
      <c r="E997">
        <v>0.11</v>
      </c>
      <c r="F997">
        <v>7027.27</v>
      </c>
      <c r="G997">
        <v>0.94199807954143</v>
      </c>
      <c r="H997">
        <v>10733</v>
      </c>
      <c r="I997">
        <v>35931</v>
      </c>
      <c r="J997">
        <v>1</v>
      </c>
      <c r="K997" t="s">
        <v>53</v>
      </c>
      <c r="L997" s="1">
        <v>44678</v>
      </c>
      <c r="M997" t="s">
        <v>104</v>
      </c>
      <c r="N997" t="s">
        <v>73</v>
      </c>
      <c r="O997">
        <v>7729.9970000000003</v>
      </c>
      <c r="P997">
        <v>702.72699999999998</v>
      </c>
      <c r="Q997">
        <v>0.65</v>
      </c>
    </row>
    <row r="998" spans="1:17">
      <c r="A998" t="s">
        <v>33</v>
      </c>
      <c r="B998" t="s">
        <v>34</v>
      </c>
      <c r="C998" t="s">
        <v>30</v>
      </c>
      <c r="D998" t="s">
        <v>20</v>
      </c>
      <c r="E998">
        <v>0.09</v>
      </c>
      <c r="F998">
        <v>4707.3999999999996</v>
      </c>
      <c r="G998">
        <v>6.69</v>
      </c>
      <c r="H998">
        <v>11976</v>
      </c>
      <c r="I998">
        <v>36994</v>
      </c>
      <c r="J998">
        <v>6</v>
      </c>
      <c r="K998" t="s">
        <v>21</v>
      </c>
      <c r="L998" s="1">
        <v>44689</v>
      </c>
      <c r="M998" t="s">
        <v>71</v>
      </c>
      <c r="N998" t="s">
        <v>44</v>
      </c>
      <c r="O998">
        <v>5178.1400000000003</v>
      </c>
      <c r="P998">
        <v>470.74</v>
      </c>
      <c r="Q998">
        <v>0.39</v>
      </c>
    </row>
    <row r="999" spans="1:17">
      <c r="A999" t="s">
        <v>67</v>
      </c>
      <c r="B999" t="s">
        <v>34</v>
      </c>
      <c r="C999" t="s">
        <v>35</v>
      </c>
      <c r="D999" t="s">
        <v>20</v>
      </c>
      <c r="E999">
        <v>0.02</v>
      </c>
      <c r="F999">
        <v>13438.61</v>
      </c>
      <c r="G999">
        <v>4.49</v>
      </c>
      <c r="H999">
        <v>35436</v>
      </c>
      <c r="I999">
        <v>106482</v>
      </c>
      <c r="J999">
        <v>6</v>
      </c>
      <c r="K999" t="s">
        <v>21</v>
      </c>
      <c r="L999" s="1">
        <v>44619</v>
      </c>
      <c r="M999" t="s">
        <v>48</v>
      </c>
      <c r="N999" t="s">
        <v>60</v>
      </c>
      <c r="O999">
        <v>14782.471</v>
      </c>
      <c r="P999">
        <v>1343.8610000000001</v>
      </c>
      <c r="Q999">
        <v>0.38</v>
      </c>
    </row>
    <row r="1000" spans="1:17">
      <c r="A1000" t="s">
        <v>24</v>
      </c>
      <c r="B1000" t="s">
        <v>29</v>
      </c>
      <c r="C1000" t="s">
        <v>19</v>
      </c>
      <c r="D1000" t="s">
        <v>36</v>
      </c>
      <c r="E1000">
        <v>0.04</v>
      </c>
      <c r="F1000">
        <v>3372.62</v>
      </c>
      <c r="G1000">
        <v>4.6500000000000004</v>
      </c>
      <c r="H1000">
        <v>8353</v>
      </c>
      <c r="I1000">
        <v>26263</v>
      </c>
      <c r="J1000">
        <v>3</v>
      </c>
      <c r="K1000" t="s">
        <v>37</v>
      </c>
      <c r="L1000" s="1">
        <v>44649</v>
      </c>
      <c r="M1000" t="s">
        <v>64</v>
      </c>
      <c r="N1000" t="s">
        <v>81</v>
      </c>
      <c r="O1000">
        <v>3709.8820000000001</v>
      </c>
      <c r="P1000">
        <v>337.262</v>
      </c>
      <c r="Q1000">
        <v>0.4</v>
      </c>
    </row>
    <row r="1001" spans="1:17">
      <c r="A1001" t="s">
        <v>33</v>
      </c>
      <c r="B1001" t="s">
        <v>18</v>
      </c>
      <c r="C1001" t="s">
        <v>40</v>
      </c>
      <c r="D1001" t="s">
        <v>36</v>
      </c>
      <c r="E1001">
        <v>0.05</v>
      </c>
      <c r="F1001">
        <v>11158.28</v>
      </c>
      <c r="G1001">
        <v>7.82</v>
      </c>
      <c r="H1001">
        <v>29510</v>
      </c>
      <c r="I1001">
        <v>88929</v>
      </c>
      <c r="J1001">
        <v>5</v>
      </c>
      <c r="K1001" t="s">
        <v>21</v>
      </c>
      <c r="L1001" s="1">
        <v>44712</v>
      </c>
      <c r="M1001" t="s">
        <v>77</v>
      </c>
      <c r="N1001" t="s">
        <v>44</v>
      </c>
      <c r="O1001">
        <v>12274.108</v>
      </c>
      <c r="P1001">
        <v>1115.828</v>
      </c>
      <c r="Q1001">
        <v>0.38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EF92-1746-450D-AFF8-69D917648B4C}">
  <dimension ref="A1:K25"/>
  <sheetViews>
    <sheetView topLeftCell="A13" workbookViewId="0">
      <selection activeCell="F16" sqref="F16"/>
    </sheetView>
  </sheetViews>
  <sheetFormatPr defaultRowHeight="15"/>
  <cols>
    <col min="1" max="1" width="15.7109375" customWidth="1"/>
    <col min="2" max="2" width="12.5703125" bestFit="1" customWidth="1"/>
    <col min="3" max="3" width="18.28515625" customWidth="1"/>
    <col min="4" max="4" width="14.140625" bestFit="1" customWidth="1"/>
    <col min="5" max="5" width="24.85546875" bestFit="1" customWidth="1"/>
    <col min="6" max="6" width="26.140625" bestFit="1" customWidth="1"/>
    <col min="8" max="8" width="15.28515625" customWidth="1"/>
    <col min="9" max="9" width="11.7109375" customWidth="1"/>
    <col min="10" max="10" width="13.42578125" customWidth="1"/>
    <col min="11" max="11" width="12.85546875" customWidth="1"/>
  </cols>
  <sheetData>
    <row r="1" spans="1:11" ht="21">
      <c r="C1" s="40" t="s">
        <v>105</v>
      </c>
      <c r="D1" s="40"/>
      <c r="E1" s="40"/>
      <c r="F1" s="40"/>
      <c r="G1" s="40"/>
      <c r="H1" s="40"/>
    </row>
    <row r="2" spans="1:11">
      <c r="C2" s="24" t="s">
        <v>3</v>
      </c>
      <c r="D2" s="25" t="s">
        <v>106</v>
      </c>
      <c r="E2" s="25" t="s">
        <v>107</v>
      </c>
      <c r="F2" s="26" t="s">
        <v>108</v>
      </c>
      <c r="G2" s="27" t="s">
        <v>109</v>
      </c>
      <c r="H2" s="28" t="s">
        <v>110</v>
      </c>
    </row>
    <row r="3" spans="1:11">
      <c r="C3" t="s">
        <v>36</v>
      </c>
      <c r="D3" s="3">
        <v>1959629.9299999995</v>
      </c>
      <c r="E3" s="3">
        <v>5116033</v>
      </c>
      <c r="F3" s="3">
        <v>15539907</v>
      </c>
      <c r="G3" s="3">
        <v>4.1976377952755906</v>
      </c>
      <c r="H3" s="3">
        <v>7.8503937007873961E-2</v>
      </c>
    </row>
    <row r="4" spans="1:11">
      <c r="C4" t="s">
        <v>50</v>
      </c>
      <c r="D4" s="3">
        <v>1887716.4899999988</v>
      </c>
      <c r="E4" s="3">
        <v>4938829</v>
      </c>
      <c r="F4" s="3">
        <v>14990697</v>
      </c>
      <c r="G4" s="3">
        <v>3.869579831932775</v>
      </c>
      <c r="H4" s="3">
        <v>8.4327731092436894E-2</v>
      </c>
    </row>
    <row r="5" spans="1:11">
      <c r="C5" t="s">
        <v>42</v>
      </c>
      <c r="D5" s="3">
        <v>1905014.0000000007</v>
      </c>
      <c r="E5" s="3">
        <v>2920896</v>
      </c>
      <c r="F5" s="3">
        <v>9765249</v>
      </c>
      <c r="G5" s="3">
        <v>0.68766625866225684</v>
      </c>
      <c r="H5" s="3">
        <v>8.1660231660231619E-2</v>
      </c>
    </row>
    <row r="6" spans="1:11">
      <c r="C6" t="s">
        <v>20</v>
      </c>
      <c r="D6" s="3">
        <v>1924057.6299999994</v>
      </c>
      <c r="E6" s="3">
        <v>5026214</v>
      </c>
      <c r="F6" s="3">
        <v>15266226</v>
      </c>
      <c r="G6" s="3">
        <v>3.8412851405622459</v>
      </c>
      <c r="H6" s="3">
        <v>8.1164658634538117E-2</v>
      </c>
      <c r="I6" s="13"/>
    </row>
    <row r="7" spans="1:11">
      <c r="C7" s="22" t="s">
        <v>111</v>
      </c>
      <c r="D7" s="23">
        <v>7676418.0500000007</v>
      </c>
      <c r="E7" s="23">
        <v>18001972</v>
      </c>
      <c r="F7" s="23">
        <v>55562079</v>
      </c>
      <c r="G7" s="23">
        <v>3.1217455609935283</v>
      </c>
      <c r="H7" s="23">
        <v>8.1369999999999984E-2</v>
      </c>
    </row>
    <row r="10" spans="1:11" ht="21">
      <c r="A10" s="35" t="s">
        <v>112</v>
      </c>
      <c r="B10" s="36"/>
      <c r="C10" s="36"/>
      <c r="D10" s="37"/>
      <c r="G10" s="32" t="s">
        <v>113</v>
      </c>
      <c r="H10" s="33"/>
      <c r="I10" s="34"/>
      <c r="J10" s="33"/>
      <c r="K10" s="33"/>
    </row>
    <row r="11" spans="1:11">
      <c r="A11" s="24" t="s">
        <v>13</v>
      </c>
      <c r="B11" s="28" t="s">
        <v>107</v>
      </c>
      <c r="C11" s="28" t="s">
        <v>108</v>
      </c>
      <c r="D11" s="29" t="s">
        <v>109</v>
      </c>
      <c r="F11" s="18"/>
      <c r="G11" s="38" t="s">
        <v>114</v>
      </c>
      <c r="H11" s="39"/>
      <c r="J11" s="41" t="s">
        <v>115</v>
      </c>
      <c r="K11" s="42"/>
    </row>
    <row r="12" spans="1:11">
      <c r="A12" t="s">
        <v>27</v>
      </c>
      <c r="B12" s="3">
        <v>1078338</v>
      </c>
      <c r="C12" s="3">
        <v>3318072</v>
      </c>
      <c r="D12" s="3">
        <v>2.8884926349690176</v>
      </c>
      <c r="G12" s="19" t="s">
        <v>13</v>
      </c>
      <c r="H12" s="20" t="s">
        <v>107</v>
      </c>
      <c r="J12" s="19" t="s">
        <v>3</v>
      </c>
      <c r="K12" s="21" t="s">
        <v>106</v>
      </c>
    </row>
    <row r="13" spans="1:11">
      <c r="A13" t="s">
        <v>60</v>
      </c>
      <c r="B13" s="3">
        <v>1672873</v>
      </c>
      <c r="C13" s="3">
        <v>5153123</v>
      </c>
      <c r="D13" s="3">
        <v>2.8678920750789705</v>
      </c>
      <c r="G13" t="s">
        <v>27</v>
      </c>
      <c r="H13" s="3">
        <v>1078338</v>
      </c>
      <c r="J13" t="s">
        <v>36</v>
      </c>
      <c r="K13" s="3">
        <v>1959629.9299999995</v>
      </c>
    </row>
    <row r="14" spans="1:11">
      <c r="A14" t="s">
        <v>81</v>
      </c>
      <c r="B14" s="3">
        <v>1519554</v>
      </c>
      <c r="C14" s="3">
        <v>4685259</v>
      </c>
      <c r="D14" s="3">
        <v>3.369312461837588</v>
      </c>
      <c r="G14" t="s">
        <v>60</v>
      </c>
      <c r="H14" s="3">
        <v>1672873</v>
      </c>
      <c r="J14" t="s">
        <v>50</v>
      </c>
      <c r="K14" s="3">
        <v>1887716.4899999988</v>
      </c>
    </row>
    <row r="15" spans="1:11">
      <c r="A15" t="s">
        <v>73</v>
      </c>
      <c r="B15" s="3">
        <v>1213098</v>
      </c>
      <c r="C15" s="3">
        <v>3791970</v>
      </c>
      <c r="D15" s="3">
        <v>3.0083449458351819</v>
      </c>
      <c r="G15" t="s">
        <v>81</v>
      </c>
      <c r="H15" s="3">
        <v>1519554</v>
      </c>
      <c r="J15" t="s">
        <v>42</v>
      </c>
      <c r="K15" s="3">
        <v>1905014.0000000007</v>
      </c>
    </row>
    <row r="16" spans="1:11">
      <c r="A16" t="s">
        <v>44</v>
      </c>
      <c r="B16" s="3">
        <v>1624143</v>
      </c>
      <c r="C16" s="3">
        <v>4996581</v>
      </c>
      <c r="D16" s="3">
        <v>2.950576225951874</v>
      </c>
      <c r="G16" t="s">
        <v>73</v>
      </c>
      <c r="H16" s="3">
        <v>1213098</v>
      </c>
      <c r="J16" t="s">
        <v>20</v>
      </c>
      <c r="K16" s="3">
        <v>1924057.63</v>
      </c>
    </row>
    <row r="17" spans="1:11">
      <c r="A17" t="s">
        <v>69</v>
      </c>
      <c r="B17" s="3">
        <v>1402957</v>
      </c>
      <c r="C17" s="3">
        <v>4337347</v>
      </c>
      <c r="D17" s="3">
        <v>2.8506096592578638</v>
      </c>
      <c r="G17" t="s">
        <v>44</v>
      </c>
      <c r="H17" s="3">
        <v>1624143</v>
      </c>
      <c r="J17" s="11"/>
      <c r="K17" s="12"/>
    </row>
    <row r="18" spans="1:11">
      <c r="A18" t="s">
        <v>23</v>
      </c>
      <c r="B18" s="3">
        <v>1881379</v>
      </c>
      <c r="C18" s="3">
        <v>5805193</v>
      </c>
      <c r="D18" s="3">
        <v>3.1929478024857376</v>
      </c>
      <c r="G18" t="s">
        <v>69</v>
      </c>
      <c r="H18" s="3">
        <v>1402957</v>
      </c>
    </row>
    <row r="19" spans="1:11">
      <c r="A19" t="s">
        <v>32</v>
      </c>
      <c r="B19" s="3">
        <v>1710725</v>
      </c>
      <c r="C19" s="3">
        <v>5252598</v>
      </c>
      <c r="D19" s="3">
        <v>3.2186007875465026</v>
      </c>
      <c r="G19" t="s">
        <v>23</v>
      </c>
      <c r="H19" s="3">
        <v>1881379</v>
      </c>
    </row>
    <row r="20" spans="1:11">
      <c r="A20" t="s">
        <v>65</v>
      </c>
      <c r="B20" s="3">
        <v>1569297</v>
      </c>
      <c r="C20" s="3">
        <v>4862771</v>
      </c>
      <c r="D20" s="3">
        <v>3.3453674964611988</v>
      </c>
      <c r="G20" t="s">
        <v>32</v>
      </c>
      <c r="H20" s="3">
        <v>1710725</v>
      </c>
    </row>
    <row r="21" spans="1:11">
      <c r="A21" t="s">
        <v>57</v>
      </c>
      <c r="B21" s="3">
        <v>1349179</v>
      </c>
      <c r="C21" s="3">
        <v>4163990</v>
      </c>
      <c r="D21" s="3">
        <v>2.9301087063256404</v>
      </c>
      <c r="G21" t="s">
        <v>65</v>
      </c>
      <c r="H21" s="3">
        <v>1569297</v>
      </c>
    </row>
    <row r="22" spans="1:11">
      <c r="A22" t="s">
        <v>41</v>
      </c>
      <c r="B22" s="3">
        <v>1611043</v>
      </c>
      <c r="C22" s="3">
        <v>4967234</v>
      </c>
      <c r="D22" s="3">
        <v>3.0941929760625211</v>
      </c>
      <c r="G22" t="s">
        <v>57</v>
      </c>
      <c r="H22" s="3">
        <v>1349179</v>
      </c>
    </row>
    <row r="23" spans="1:11">
      <c r="A23" t="s">
        <v>63</v>
      </c>
      <c r="B23" s="3">
        <v>1369386</v>
      </c>
      <c r="C23" s="3">
        <v>4227941</v>
      </c>
      <c r="D23" s="3">
        <v>3.6464119111643924</v>
      </c>
      <c r="G23" t="s">
        <v>41</v>
      </c>
      <c r="H23" s="3">
        <v>1611043</v>
      </c>
    </row>
    <row r="24" spans="1:11">
      <c r="A24" s="22" t="s">
        <v>111</v>
      </c>
      <c r="B24" s="23">
        <v>18001972</v>
      </c>
      <c r="C24" s="23">
        <v>55562079</v>
      </c>
      <c r="D24" s="23">
        <v>3.121745560993527</v>
      </c>
      <c r="G24" t="s">
        <v>63</v>
      </c>
      <c r="H24" s="3">
        <v>1369386</v>
      </c>
    </row>
    <row r="25" spans="1:11">
      <c r="G25" s="4"/>
      <c r="H25" s="5"/>
    </row>
  </sheetData>
  <mergeCells count="5">
    <mergeCell ref="G10:K10"/>
    <mergeCell ref="A10:D10"/>
    <mergeCell ref="G11:H11"/>
    <mergeCell ref="C1:H1"/>
    <mergeCell ref="J11:K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20F6-79FF-492A-B8FC-06B515B98EF1}">
  <dimension ref="C1:K30"/>
  <sheetViews>
    <sheetView showGridLines="0" workbookViewId="0">
      <selection activeCell="J30" sqref="J30:K30"/>
    </sheetView>
  </sheetViews>
  <sheetFormatPr defaultRowHeight="15"/>
  <cols>
    <col min="2" max="2" width="11.140625" bestFit="1" customWidth="1"/>
    <col min="3" max="3" width="16.42578125" customWidth="1"/>
    <col min="4" max="4" width="15.28515625" bestFit="1" customWidth="1"/>
    <col min="5" max="5" width="16.85546875" customWidth="1"/>
    <col min="6" max="6" width="16.42578125" customWidth="1"/>
    <col min="7" max="7" width="10.5703125" customWidth="1"/>
    <col min="8" max="8" width="15.5703125" customWidth="1"/>
    <col min="9" max="9" width="18.85546875" customWidth="1"/>
  </cols>
  <sheetData>
    <row r="1" spans="3:11" ht="23.25">
      <c r="C1" s="30" t="s">
        <v>116</v>
      </c>
      <c r="D1" s="31"/>
      <c r="E1" s="31"/>
      <c r="F1" s="31"/>
      <c r="G1" s="31"/>
      <c r="H1" s="31"/>
      <c r="I1" s="31"/>
      <c r="J1" s="31"/>
      <c r="K1" s="10"/>
    </row>
    <row r="3" spans="3:11" ht="21">
      <c r="C3" s="8" t="s">
        <v>106</v>
      </c>
      <c r="D3" s="14">
        <f>SUM('Raw Data'!F:F)</f>
        <v>7676418.0500000073</v>
      </c>
      <c r="E3" s="8" t="s">
        <v>107</v>
      </c>
      <c r="F3" s="15">
        <f>SUM('Raw Data'!H:H)</f>
        <v>18001972</v>
      </c>
      <c r="G3" s="16" t="s">
        <v>109</v>
      </c>
      <c r="H3" s="17">
        <f>AVERAGE('Raw Data'!G:G)</f>
        <v>3.1217455609935261</v>
      </c>
      <c r="I3" s="8" t="s">
        <v>117</v>
      </c>
      <c r="J3" s="9" t="str">
        <f>INDEX('Raw Data'!D:D,MATCH(MAX('Raw Data'!H:H),'Raw Data'!H:H,0))</f>
        <v>Facebook</v>
      </c>
      <c r="K3" s="7"/>
    </row>
    <row r="30" spans="10:11">
      <c r="J30" s="6" t="s">
        <v>118</v>
      </c>
      <c r="K30" s="6"/>
    </row>
  </sheetData>
  <mergeCells count="1">
    <mergeCell ref="C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2026-05-02T13:33:47Z</dcterms:created>
  <dcterms:modified xsi:type="dcterms:W3CDTF">2026-05-02T18:00:05Z</dcterms:modified>
  <cp:category/>
  <cp:contentStatus/>
</cp:coreProperties>
</file>